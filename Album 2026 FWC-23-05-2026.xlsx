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Cant cartas bajas" sheetId="3" r:id="rId7"/>
  </sheets>
  <definedNames/>
  <calcPr/>
</workbook>
</file>

<file path=xl/sharedStrings.xml><?xml version="1.0" encoding="utf-8"?>
<sst xmlns="http://schemas.openxmlformats.org/spreadsheetml/2006/main" count="1277" uniqueCount="1075">
  <si>
    <t>GRUPO A (Mexico, Sudafrica, Korea, Czechia)</t>
  </si>
  <si>
    <t>GRUPO B (Canada, Bosnia, Qatar, Suiza)</t>
  </si>
  <si>
    <t>GRUPO C (Brazil, Marruecos, Haiti, Scotland)</t>
  </si>
  <si>
    <t>GRUPO D (USA, Paraguay, Australia, Turquia)</t>
  </si>
  <si>
    <t>GRUPO E (Alemania, Curazao, Costa de Marfil, Ecuador)</t>
  </si>
  <si>
    <t>GRUPO F (Holanda, Japon, Suecia, Tunez)</t>
  </si>
  <si>
    <t>GRUPO G (Belgica, Egipto, Iran, Nueva Zelanda)</t>
  </si>
  <si>
    <t>GRUPO H (España, Cabo Verde, Arabia Saudita, Uruguay)</t>
  </si>
  <si>
    <t>GRUPO I (Francia, Senegal, Iraq, Noruega)</t>
  </si>
  <si>
    <t>GRUPO J (Argentina, Algeria, Austria, Jordania)</t>
  </si>
  <si>
    <t>GRUPO K (Portugal, Rep Dem Congo, Uzbekistan, Colombia)</t>
  </si>
  <si>
    <t>GRUPO L (Inglaterra, Croacia, Ghana, Panama</t>
  </si>
  <si>
    <t>ESPECIALES</t>
  </si>
  <si>
    <t>Mexico</t>
  </si>
  <si>
    <t>Sudafrica</t>
  </si>
  <si>
    <t>Korea</t>
  </si>
  <si>
    <t>Czechia</t>
  </si>
  <si>
    <t>Canada</t>
  </si>
  <si>
    <t>Bosnia</t>
  </si>
  <si>
    <t>Qatar</t>
  </si>
  <si>
    <t>Suiza</t>
  </si>
  <si>
    <t>Brazil</t>
  </si>
  <si>
    <t>Marruecos</t>
  </si>
  <si>
    <t>Haiti</t>
  </si>
  <si>
    <t>Escocia</t>
  </si>
  <si>
    <t>USA</t>
  </si>
  <si>
    <t>Paraguay</t>
  </si>
  <si>
    <t>Australia</t>
  </si>
  <si>
    <t>Turkia</t>
  </si>
  <si>
    <t>Alemania</t>
  </si>
  <si>
    <t>Curazao</t>
  </si>
  <si>
    <t>Costa de Marfil</t>
  </si>
  <si>
    <t>Ecuador</t>
  </si>
  <si>
    <t>Holanda</t>
  </si>
  <si>
    <t>Japon</t>
  </si>
  <si>
    <t>Suecia</t>
  </si>
  <si>
    <t>Tunez</t>
  </si>
  <si>
    <t>Belgica</t>
  </si>
  <si>
    <t>Egipto</t>
  </si>
  <si>
    <t>Iran</t>
  </si>
  <si>
    <t>Nueva Zelanda</t>
  </si>
  <si>
    <t>España</t>
  </si>
  <si>
    <t>Cabo Verde</t>
  </si>
  <si>
    <t>Arabia Saudita</t>
  </si>
  <si>
    <t>Uruguay</t>
  </si>
  <si>
    <t>Francia</t>
  </si>
  <si>
    <t>Senegal</t>
  </si>
  <si>
    <t>Iraq</t>
  </si>
  <si>
    <t>Noruega</t>
  </si>
  <si>
    <t>Argentina</t>
  </si>
  <si>
    <t>Algeria</t>
  </si>
  <si>
    <t>Austria</t>
  </si>
  <si>
    <t>Jordania</t>
  </si>
  <si>
    <t>Portugal</t>
  </si>
  <si>
    <t>Rep Congo</t>
  </si>
  <si>
    <t>Uzbekistan</t>
  </si>
  <si>
    <t>Colombia</t>
  </si>
  <si>
    <t>Inglaterra</t>
  </si>
  <si>
    <t>Croacia</t>
  </si>
  <si>
    <t>Ghana</t>
  </si>
  <si>
    <t>Panama</t>
  </si>
  <si>
    <t>Especiales</t>
  </si>
  <si>
    <t>CARTA</t>
  </si>
  <si>
    <t>CANTIDAD</t>
  </si>
  <si>
    <t>MEX 1</t>
  </si>
  <si>
    <t>RSA 1</t>
  </si>
  <si>
    <t>KOR 1</t>
  </si>
  <si>
    <t>CZE 1</t>
  </si>
  <si>
    <t>CAN 1</t>
  </si>
  <si>
    <t>BIH 1</t>
  </si>
  <si>
    <t xml:space="preserve">QAT 1 </t>
  </si>
  <si>
    <t>SUI 1</t>
  </si>
  <si>
    <t>BRA 1</t>
  </si>
  <si>
    <t>MAR 1</t>
  </si>
  <si>
    <t>HAI 1</t>
  </si>
  <si>
    <t>SCO 1</t>
  </si>
  <si>
    <t>USA 1</t>
  </si>
  <si>
    <t>PAR 1</t>
  </si>
  <si>
    <t>AUS 1</t>
  </si>
  <si>
    <t>TUR 1</t>
  </si>
  <si>
    <t>GER 1</t>
  </si>
  <si>
    <t>CUW 1</t>
  </si>
  <si>
    <t>CIV 1</t>
  </si>
  <si>
    <t>ECU 1</t>
  </si>
  <si>
    <t>NED 1</t>
  </si>
  <si>
    <t>JPN 1</t>
  </si>
  <si>
    <t>SWE 1</t>
  </si>
  <si>
    <t>TUN 1</t>
  </si>
  <si>
    <t>BEL 1</t>
  </si>
  <si>
    <t>EGY 1</t>
  </si>
  <si>
    <t>IRN 1</t>
  </si>
  <si>
    <t>NZL 1</t>
  </si>
  <si>
    <t>ESP 1</t>
  </si>
  <si>
    <t>CPV 1</t>
  </si>
  <si>
    <t>KSA 1</t>
  </si>
  <si>
    <t>URU 1</t>
  </si>
  <si>
    <t>FRA 1</t>
  </si>
  <si>
    <t>SEN 1</t>
  </si>
  <si>
    <t>IRQ 1</t>
  </si>
  <si>
    <t>NOR 1</t>
  </si>
  <si>
    <t>ARG 1</t>
  </si>
  <si>
    <t>ALG 1</t>
  </si>
  <si>
    <t>AUT 1</t>
  </si>
  <si>
    <t>JOR 1</t>
  </si>
  <si>
    <t>POR 1</t>
  </si>
  <si>
    <t>COD 1</t>
  </si>
  <si>
    <t>UZB 1</t>
  </si>
  <si>
    <t>COL 1</t>
  </si>
  <si>
    <t>ENG 1</t>
  </si>
  <si>
    <t>CRO 1</t>
  </si>
  <si>
    <t>GHA 1</t>
  </si>
  <si>
    <t>PAN 1</t>
  </si>
  <si>
    <t>FW 00</t>
  </si>
  <si>
    <t>MEX 2</t>
  </si>
  <si>
    <t>RSA 2</t>
  </si>
  <si>
    <t>KOR 2</t>
  </si>
  <si>
    <t>CZE 2</t>
  </si>
  <si>
    <t>CAN 2</t>
  </si>
  <si>
    <t>BIH 2</t>
  </si>
  <si>
    <t>QAT 2</t>
  </si>
  <si>
    <t>SUI 2</t>
  </si>
  <si>
    <t>BRA 2</t>
  </si>
  <si>
    <t>MAR 2</t>
  </si>
  <si>
    <t>HAI 2</t>
  </si>
  <si>
    <t>SCO 2</t>
  </si>
  <si>
    <t>USA 2</t>
  </si>
  <si>
    <t>PAR 2</t>
  </si>
  <si>
    <t>AUS 2</t>
  </si>
  <si>
    <t>TUR 2</t>
  </si>
  <si>
    <t>GER 2</t>
  </si>
  <si>
    <t>CUW 2</t>
  </si>
  <si>
    <t>CIV 2</t>
  </si>
  <si>
    <t>ECU 2</t>
  </si>
  <si>
    <t>NED 2</t>
  </si>
  <si>
    <t>JPN 2</t>
  </si>
  <si>
    <t>SWE 2</t>
  </si>
  <si>
    <t>TUN 2</t>
  </si>
  <si>
    <t>BEL 2</t>
  </si>
  <si>
    <t>EGY 2</t>
  </si>
  <si>
    <t>IRN 2</t>
  </si>
  <si>
    <t>NZL 2</t>
  </si>
  <si>
    <t>ESP 2</t>
  </si>
  <si>
    <t>CPV 2</t>
  </si>
  <si>
    <t>KSA 2</t>
  </si>
  <si>
    <t>URU 2</t>
  </si>
  <si>
    <t>FRA 2</t>
  </si>
  <si>
    <t>SEN 2</t>
  </si>
  <si>
    <t>IRQ 2</t>
  </si>
  <si>
    <t>NOR 2</t>
  </si>
  <si>
    <t>ARG 2</t>
  </si>
  <si>
    <t>ALG 2</t>
  </si>
  <si>
    <t>AUT 2</t>
  </si>
  <si>
    <t>JOR 2</t>
  </si>
  <si>
    <t>POR 2</t>
  </si>
  <si>
    <t>COD 2</t>
  </si>
  <si>
    <t>UZB 2</t>
  </si>
  <si>
    <t>COL 2</t>
  </si>
  <si>
    <t>ENG 2</t>
  </si>
  <si>
    <t>CRO 2</t>
  </si>
  <si>
    <t>GHA 2</t>
  </si>
  <si>
    <t>PAN 2</t>
  </si>
  <si>
    <t>FW 01</t>
  </si>
  <si>
    <t>MEX 3</t>
  </si>
  <si>
    <t>RSA 3</t>
  </si>
  <si>
    <t>KOR 3</t>
  </si>
  <si>
    <t>CZE 3</t>
  </si>
  <si>
    <t>CAN 3</t>
  </si>
  <si>
    <t>BIH 3</t>
  </si>
  <si>
    <t>QAT 3</t>
  </si>
  <si>
    <t>SUI 3</t>
  </si>
  <si>
    <t>BRA 3</t>
  </si>
  <si>
    <t>MAR 3</t>
  </si>
  <si>
    <t>HAI 3</t>
  </si>
  <si>
    <t>SCO 3</t>
  </si>
  <si>
    <t>USA 3</t>
  </si>
  <si>
    <t>PAR 3</t>
  </si>
  <si>
    <t>AUS 3</t>
  </si>
  <si>
    <t>TUR 3</t>
  </si>
  <si>
    <t>GER 3</t>
  </si>
  <si>
    <t>CUW 3</t>
  </si>
  <si>
    <t>CIV 3</t>
  </si>
  <si>
    <t>ECU 3</t>
  </si>
  <si>
    <t>NED 3</t>
  </si>
  <si>
    <t>JPN 3</t>
  </si>
  <si>
    <t>SWE 3</t>
  </si>
  <si>
    <t>TUN 3</t>
  </si>
  <si>
    <t>BEL 3</t>
  </si>
  <si>
    <t>EGY 3</t>
  </si>
  <si>
    <t>IRN 3</t>
  </si>
  <si>
    <t>NZL 3</t>
  </si>
  <si>
    <t>ESP 3</t>
  </si>
  <si>
    <t>CPV 3</t>
  </si>
  <si>
    <t>KSA 3</t>
  </si>
  <si>
    <t>URU 3</t>
  </si>
  <si>
    <t>FRA 3</t>
  </si>
  <si>
    <t>SEN 3</t>
  </si>
  <si>
    <t>IRQ 3</t>
  </si>
  <si>
    <t>NOR 3</t>
  </si>
  <si>
    <t>ARG 3</t>
  </si>
  <si>
    <t>ALG 3</t>
  </si>
  <si>
    <t>AUT 3</t>
  </si>
  <si>
    <t>JOR 3</t>
  </si>
  <si>
    <t>POR 3</t>
  </si>
  <si>
    <t>COD 3</t>
  </si>
  <si>
    <t>UZB 3</t>
  </si>
  <si>
    <t>COL 3</t>
  </si>
  <si>
    <t>ENG 3</t>
  </si>
  <si>
    <t>CRO 3</t>
  </si>
  <si>
    <t>GHA 3</t>
  </si>
  <si>
    <t>PAN 3</t>
  </si>
  <si>
    <t>FW 02</t>
  </si>
  <si>
    <t>MEX 4</t>
  </si>
  <si>
    <t>RSA 4</t>
  </si>
  <si>
    <t>KOR 4</t>
  </si>
  <si>
    <t>CZE 4</t>
  </si>
  <si>
    <t>CAN 4</t>
  </si>
  <si>
    <t>BIH 4</t>
  </si>
  <si>
    <t>QAT 4</t>
  </si>
  <si>
    <t>SUI 4</t>
  </si>
  <si>
    <t>BRA 4</t>
  </si>
  <si>
    <t>MAR 4</t>
  </si>
  <si>
    <t>HAI 4</t>
  </si>
  <si>
    <t>SCO 4</t>
  </si>
  <si>
    <t>USA 4</t>
  </si>
  <si>
    <t>PAR 4</t>
  </si>
  <si>
    <t>AUS 4</t>
  </si>
  <si>
    <t>TUR 4</t>
  </si>
  <si>
    <t>GER 4</t>
  </si>
  <si>
    <t>CUW 4</t>
  </si>
  <si>
    <t>CIV 4</t>
  </si>
  <si>
    <t>ECU 4</t>
  </si>
  <si>
    <t>NED 4</t>
  </si>
  <si>
    <t>JPN 4</t>
  </si>
  <si>
    <t>SWE 4</t>
  </si>
  <si>
    <t>TUN 4</t>
  </si>
  <si>
    <t>BEL 4</t>
  </si>
  <si>
    <t>EGY 4</t>
  </si>
  <si>
    <t>IRN 4</t>
  </si>
  <si>
    <t>NZL 4</t>
  </si>
  <si>
    <t>ESP 4</t>
  </si>
  <si>
    <t>CPV 4</t>
  </si>
  <si>
    <t>KSA 4</t>
  </si>
  <si>
    <t>URU 4</t>
  </si>
  <si>
    <t>FRA 4</t>
  </si>
  <si>
    <t>SEN 4</t>
  </si>
  <si>
    <t>IRQ 4</t>
  </si>
  <si>
    <t>NOR 4</t>
  </si>
  <si>
    <t>ARG 4</t>
  </si>
  <si>
    <t>ALG 4</t>
  </si>
  <si>
    <t>AUT 4</t>
  </si>
  <si>
    <t>JOR 4</t>
  </si>
  <si>
    <t>POR 4</t>
  </si>
  <si>
    <t>COD 4</t>
  </si>
  <si>
    <t>UZB 4</t>
  </si>
  <si>
    <t>COL 4</t>
  </si>
  <si>
    <t>ENG 4</t>
  </si>
  <si>
    <t>CRO 4</t>
  </si>
  <si>
    <t>GHA 4</t>
  </si>
  <si>
    <t>PAN 4</t>
  </si>
  <si>
    <t>FW 03</t>
  </si>
  <si>
    <t>MEX 5</t>
  </si>
  <si>
    <t>RSA 5</t>
  </si>
  <si>
    <t>KOR 5</t>
  </si>
  <si>
    <t>CZE 5</t>
  </si>
  <si>
    <t>CAN 5</t>
  </si>
  <si>
    <t>BIH 5</t>
  </si>
  <si>
    <t>QAT 5</t>
  </si>
  <si>
    <t>SUI 5</t>
  </si>
  <si>
    <t>BRA 5</t>
  </si>
  <si>
    <t>MAR 5</t>
  </si>
  <si>
    <t>HAI 5</t>
  </si>
  <si>
    <t>SCO 5</t>
  </si>
  <si>
    <t>USA 5</t>
  </si>
  <si>
    <t>PAR 5</t>
  </si>
  <si>
    <t>AUS 5</t>
  </si>
  <si>
    <t>TUR 5</t>
  </si>
  <si>
    <t>GER 5</t>
  </si>
  <si>
    <t>CUW 5</t>
  </si>
  <si>
    <t>CIV 5</t>
  </si>
  <si>
    <t>ECU 5</t>
  </si>
  <si>
    <t>NED 5</t>
  </si>
  <si>
    <t>JPN 5</t>
  </si>
  <si>
    <t>SWE 5</t>
  </si>
  <si>
    <t>TUN 5</t>
  </si>
  <si>
    <t>BEL 5</t>
  </si>
  <si>
    <t>EGY 5</t>
  </si>
  <si>
    <t>IRN 5</t>
  </si>
  <si>
    <t>NZL 5</t>
  </si>
  <si>
    <t>ESP 5</t>
  </si>
  <si>
    <t>CPV 5</t>
  </si>
  <si>
    <t>KSA 5</t>
  </si>
  <si>
    <t>URU 5</t>
  </si>
  <si>
    <t>FRA 5</t>
  </si>
  <si>
    <t>SEN 5</t>
  </si>
  <si>
    <t>IRQ 5</t>
  </si>
  <si>
    <t>NOR 5</t>
  </si>
  <si>
    <t>ARG 5</t>
  </si>
  <si>
    <t>ALG 5</t>
  </si>
  <si>
    <t>AUT 5</t>
  </si>
  <si>
    <t>JOR 5</t>
  </si>
  <si>
    <t>POR 5</t>
  </si>
  <si>
    <t>COD 5</t>
  </si>
  <si>
    <t>UZB 5</t>
  </si>
  <si>
    <t>COL 5</t>
  </si>
  <si>
    <t>ENG 5</t>
  </si>
  <si>
    <t>CRO 5</t>
  </si>
  <si>
    <t>GHA 5</t>
  </si>
  <si>
    <t>PAN 5</t>
  </si>
  <si>
    <t>FW 04</t>
  </si>
  <si>
    <t>MEX 6</t>
  </si>
  <si>
    <t>RSA 6</t>
  </si>
  <si>
    <t>KOR 6</t>
  </si>
  <si>
    <t>CZE 6</t>
  </si>
  <si>
    <t>CAN 6</t>
  </si>
  <si>
    <t>BIH 6</t>
  </si>
  <si>
    <t>QAT 6</t>
  </si>
  <si>
    <t>SUI 6</t>
  </si>
  <si>
    <t>BRA 6</t>
  </si>
  <si>
    <t>MAR 6</t>
  </si>
  <si>
    <t>HAI 6</t>
  </si>
  <si>
    <t>SCO 6</t>
  </si>
  <si>
    <t>USA 6</t>
  </si>
  <si>
    <t>PAR 6</t>
  </si>
  <si>
    <t>AUS 6</t>
  </si>
  <si>
    <t>TUR 6</t>
  </si>
  <si>
    <t>GER 6</t>
  </si>
  <si>
    <t>CUW 6</t>
  </si>
  <si>
    <t>CIV 6</t>
  </si>
  <si>
    <t>ECU 6</t>
  </si>
  <si>
    <t>NED 6</t>
  </si>
  <si>
    <t>JPN 6</t>
  </si>
  <si>
    <t>SWE 6</t>
  </si>
  <si>
    <t>TUN 6</t>
  </si>
  <si>
    <t>BEL 6</t>
  </si>
  <si>
    <t>EGY 6</t>
  </si>
  <si>
    <t>IRN 6</t>
  </si>
  <si>
    <t>NZL 6</t>
  </si>
  <si>
    <t>ESP 6</t>
  </si>
  <si>
    <t>CPV 6</t>
  </si>
  <si>
    <t>KSA 6</t>
  </si>
  <si>
    <t>URU 6</t>
  </si>
  <si>
    <t>FRA 6</t>
  </si>
  <si>
    <t>SEN 6</t>
  </si>
  <si>
    <t>IRQ 6</t>
  </si>
  <si>
    <t>NOR 6</t>
  </si>
  <si>
    <t>ARG 6</t>
  </si>
  <si>
    <t>ALG 6</t>
  </si>
  <si>
    <t>AUT 6</t>
  </si>
  <si>
    <t>JOR 6</t>
  </si>
  <si>
    <t>POR 6</t>
  </si>
  <si>
    <t>COD 6</t>
  </si>
  <si>
    <t>UZB 6</t>
  </si>
  <si>
    <t>COL 6</t>
  </si>
  <si>
    <t>ENG 6</t>
  </si>
  <si>
    <t>CRO 6</t>
  </si>
  <si>
    <t>GHA 6</t>
  </si>
  <si>
    <t>PAN 6</t>
  </si>
  <si>
    <t>FW 05</t>
  </si>
  <si>
    <t>MEX 7</t>
  </si>
  <si>
    <t>RSA 7</t>
  </si>
  <si>
    <t>KOR 7</t>
  </si>
  <si>
    <t>CZE 7</t>
  </si>
  <si>
    <t>CAN 7</t>
  </si>
  <si>
    <t>BIH 7</t>
  </si>
  <si>
    <t>QAT 7</t>
  </si>
  <si>
    <t>SUI 7</t>
  </si>
  <si>
    <t>BRA 7</t>
  </si>
  <si>
    <t>MAR 7</t>
  </si>
  <si>
    <t>HAI 7</t>
  </si>
  <si>
    <t>SCO 7</t>
  </si>
  <si>
    <t>USA 7</t>
  </si>
  <si>
    <t>PAR 7</t>
  </si>
  <si>
    <t>AUS 7</t>
  </si>
  <si>
    <t>TUR 7</t>
  </si>
  <si>
    <t>GER 7</t>
  </si>
  <si>
    <t>CUW 7</t>
  </si>
  <si>
    <t>CIV 7</t>
  </si>
  <si>
    <t>ECU 7</t>
  </si>
  <si>
    <t>NED 7</t>
  </si>
  <si>
    <t>JPN 7</t>
  </si>
  <si>
    <t>SWE 7</t>
  </si>
  <si>
    <t>TUN 7</t>
  </si>
  <si>
    <t>BEL 7</t>
  </si>
  <si>
    <t>EGY 7</t>
  </si>
  <si>
    <t>IRN 7</t>
  </si>
  <si>
    <t>NZL 7</t>
  </si>
  <si>
    <t>ESP 7</t>
  </si>
  <si>
    <t>CPV 7</t>
  </si>
  <si>
    <t>KSA 7</t>
  </si>
  <si>
    <t>URU 7</t>
  </si>
  <si>
    <t>FRA 7</t>
  </si>
  <si>
    <t>SEN 7</t>
  </si>
  <si>
    <t>IRQ 7</t>
  </si>
  <si>
    <t>NOR 7</t>
  </si>
  <si>
    <t>ARG 7</t>
  </si>
  <si>
    <t>ALG 7</t>
  </si>
  <si>
    <t>AUT 7</t>
  </si>
  <si>
    <t>JOR 7</t>
  </si>
  <si>
    <t>POR 7</t>
  </si>
  <si>
    <t>COD 7</t>
  </si>
  <si>
    <t>UZB 7</t>
  </si>
  <si>
    <t>COL 7</t>
  </si>
  <si>
    <t>ENG 7</t>
  </si>
  <si>
    <t>CRO 7</t>
  </si>
  <si>
    <t>GHA 7</t>
  </si>
  <si>
    <t>PAN 7</t>
  </si>
  <si>
    <t>FW 06</t>
  </si>
  <si>
    <t>MEX 8</t>
  </si>
  <si>
    <t>RSA 8</t>
  </si>
  <si>
    <t>KOR 8</t>
  </si>
  <si>
    <t>CZE 8</t>
  </si>
  <si>
    <t>CAN 8</t>
  </si>
  <si>
    <t>BIH 8</t>
  </si>
  <si>
    <t>QAT 8</t>
  </si>
  <si>
    <t>SUI 8</t>
  </si>
  <si>
    <t>BRA 8</t>
  </si>
  <si>
    <t>MAR 8</t>
  </si>
  <si>
    <t>HAI 8</t>
  </si>
  <si>
    <t>SCO 8</t>
  </si>
  <si>
    <t>USA 8</t>
  </si>
  <si>
    <t>PAR 8</t>
  </si>
  <si>
    <t>AUS 8</t>
  </si>
  <si>
    <t>TUR 8</t>
  </si>
  <si>
    <t>GER 8</t>
  </si>
  <si>
    <t>CUW 8</t>
  </si>
  <si>
    <t>CIV 8</t>
  </si>
  <si>
    <t>ECU 8</t>
  </si>
  <si>
    <t>NED 8</t>
  </si>
  <si>
    <t>JPN 8</t>
  </si>
  <si>
    <t>SWE 8</t>
  </si>
  <si>
    <t>TUN 8</t>
  </si>
  <si>
    <t>BEL 8</t>
  </si>
  <si>
    <t>EGY 8</t>
  </si>
  <si>
    <t>IRN 8</t>
  </si>
  <si>
    <t>NZL 8</t>
  </si>
  <si>
    <t>ESP 8</t>
  </si>
  <si>
    <t>CPV 8</t>
  </si>
  <si>
    <t>KSA 8</t>
  </si>
  <si>
    <t>URU 8</t>
  </si>
  <si>
    <t>FRA 8</t>
  </si>
  <si>
    <t>SEN 8</t>
  </si>
  <si>
    <t>IRQ 8</t>
  </si>
  <si>
    <t>NOR 8</t>
  </si>
  <si>
    <t>ARG 8</t>
  </si>
  <si>
    <t>ALG 8</t>
  </si>
  <si>
    <t>AUT 8</t>
  </si>
  <si>
    <t>JOR 8</t>
  </si>
  <si>
    <t>POR 8</t>
  </si>
  <si>
    <t>COD 8</t>
  </si>
  <si>
    <t>UZB 8</t>
  </si>
  <si>
    <t>COL 8</t>
  </si>
  <si>
    <t>ENG 8</t>
  </si>
  <si>
    <t>CRO 8</t>
  </si>
  <si>
    <t>GHA 8</t>
  </si>
  <si>
    <t>PAN 8</t>
  </si>
  <si>
    <t>FW 07</t>
  </si>
  <si>
    <t>MEX 9</t>
  </si>
  <si>
    <t>RSA 9</t>
  </si>
  <si>
    <t>KOR 9</t>
  </si>
  <si>
    <t>CZE 9</t>
  </si>
  <si>
    <t>CAN 9</t>
  </si>
  <si>
    <t>BIH 9</t>
  </si>
  <si>
    <t>QAT 9</t>
  </si>
  <si>
    <t>SUI 9</t>
  </si>
  <si>
    <t>BRA 9</t>
  </si>
  <si>
    <t>MAR 9</t>
  </si>
  <si>
    <t>HAI 9</t>
  </si>
  <si>
    <t>SCO 9</t>
  </si>
  <si>
    <t>USA 9</t>
  </si>
  <si>
    <t>PAR 9</t>
  </si>
  <si>
    <t>AUS 9</t>
  </si>
  <si>
    <t>TUR 9</t>
  </si>
  <si>
    <t>GER 9</t>
  </si>
  <si>
    <t>CUW 9</t>
  </si>
  <si>
    <t>CIV 9</t>
  </si>
  <si>
    <t>ECU 9</t>
  </si>
  <si>
    <t>NED 9</t>
  </si>
  <si>
    <t>JPN 9</t>
  </si>
  <si>
    <t>SWE 9</t>
  </si>
  <si>
    <t>TUN 9</t>
  </si>
  <si>
    <t>BEL 9</t>
  </si>
  <si>
    <t>EGY 9</t>
  </si>
  <si>
    <t>IRN 9</t>
  </si>
  <si>
    <t>NZL 9</t>
  </si>
  <si>
    <t>ESP 9</t>
  </si>
  <si>
    <t>CPV 9</t>
  </si>
  <si>
    <t>KSA 9</t>
  </si>
  <si>
    <t>URU 9</t>
  </si>
  <si>
    <t>FRA 9</t>
  </si>
  <si>
    <t>SEN 9</t>
  </si>
  <si>
    <t>IRQ 9</t>
  </si>
  <si>
    <t>NOR 9</t>
  </si>
  <si>
    <t>ARG 9</t>
  </si>
  <si>
    <t>ALG 9</t>
  </si>
  <si>
    <t>AUT 9</t>
  </si>
  <si>
    <t>JOR 9</t>
  </si>
  <si>
    <t>POR 9</t>
  </si>
  <si>
    <t>COD 9</t>
  </si>
  <si>
    <t>UZB 9</t>
  </si>
  <si>
    <t>COL 9</t>
  </si>
  <si>
    <t>ENG 9</t>
  </si>
  <si>
    <t>CRO 9 (Modric)</t>
  </si>
  <si>
    <t>GHA 9</t>
  </si>
  <si>
    <t>PAN 9</t>
  </si>
  <si>
    <t>FW 08</t>
  </si>
  <si>
    <t>MEX 10</t>
  </si>
  <si>
    <t>RSA 10</t>
  </si>
  <si>
    <t>KOR 10</t>
  </si>
  <si>
    <t>CZE 10</t>
  </si>
  <si>
    <t>CAN 10</t>
  </si>
  <si>
    <t>BIH 10</t>
  </si>
  <si>
    <t>QAT 10</t>
  </si>
  <si>
    <t>SUI 10</t>
  </si>
  <si>
    <t>BRA 10</t>
  </si>
  <si>
    <t>MAR 10</t>
  </si>
  <si>
    <t>HAI 10</t>
  </si>
  <si>
    <t>SCO 10</t>
  </si>
  <si>
    <t>USA 10</t>
  </si>
  <si>
    <t>PAR 10</t>
  </si>
  <si>
    <t>AUS 10</t>
  </si>
  <si>
    <t>TUR 10</t>
  </si>
  <si>
    <t>GER 10</t>
  </si>
  <si>
    <t>CUW 10</t>
  </si>
  <si>
    <t>CIV 10</t>
  </si>
  <si>
    <t>ECU 10</t>
  </si>
  <si>
    <t>NED 10</t>
  </si>
  <si>
    <t>JPN 10</t>
  </si>
  <si>
    <t>SWE 10</t>
  </si>
  <si>
    <t>TUN 10</t>
  </si>
  <si>
    <t>BEL 10</t>
  </si>
  <si>
    <t>EGY 10</t>
  </si>
  <si>
    <t>IRN 10</t>
  </si>
  <si>
    <t>NZL 10</t>
  </si>
  <si>
    <t>ESP 10</t>
  </si>
  <si>
    <t>CPV 10</t>
  </si>
  <si>
    <t>KSA 10</t>
  </si>
  <si>
    <t>URU 10</t>
  </si>
  <si>
    <t>FRA 10</t>
  </si>
  <si>
    <t>SEN 10</t>
  </si>
  <si>
    <t>IRQ 10</t>
  </si>
  <si>
    <t>NOR 10</t>
  </si>
  <si>
    <t>ARG 10</t>
  </si>
  <si>
    <t>ALG 10</t>
  </si>
  <si>
    <t>AUT 10</t>
  </si>
  <si>
    <t>JOR 10</t>
  </si>
  <si>
    <t>POR 10</t>
  </si>
  <si>
    <t>COD 10</t>
  </si>
  <si>
    <t>UZB 10</t>
  </si>
  <si>
    <t>COL 10</t>
  </si>
  <si>
    <t>ENG 10</t>
  </si>
  <si>
    <t>CRO 10</t>
  </si>
  <si>
    <t>GHA 10</t>
  </si>
  <si>
    <t>PAN 10</t>
  </si>
  <si>
    <t>FW 09</t>
  </si>
  <si>
    <t>MEX 11</t>
  </si>
  <si>
    <t>RSA 11</t>
  </si>
  <si>
    <t>KOR 11</t>
  </si>
  <si>
    <t>CZE 11</t>
  </si>
  <si>
    <t>CAN 11</t>
  </si>
  <si>
    <t>BIH 11</t>
  </si>
  <si>
    <t>QAT 11</t>
  </si>
  <si>
    <t>SUI 11</t>
  </si>
  <si>
    <t>BRA 11</t>
  </si>
  <si>
    <t>MAR 11</t>
  </si>
  <si>
    <t>HAI 11</t>
  </si>
  <si>
    <t>SCO 11</t>
  </si>
  <si>
    <t>USA 11</t>
  </si>
  <si>
    <t>PAR 11</t>
  </si>
  <si>
    <t>AUS 11</t>
  </si>
  <si>
    <t>TUR 11</t>
  </si>
  <si>
    <t>GER 11</t>
  </si>
  <si>
    <t>CUW 11</t>
  </si>
  <si>
    <t>CIV 11</t>
  </si>
  <si>
    <t>ECU 11</t>
  </si>
  <si>
    <t>NED 11</t>
  </si>
  <si>
    <t>JPN 11</t>
  </si>
  <si>
    <t>SWE 11</t>
  </si>
  <si>
    <t>TUN 11</t>
  </si>
  <si>
    <t>BEL 11</t>
  </si>
  <si>
    <t>EGY 11</t>
  </si>
  <si>
    <t>IRN 11</t>
  </si>
  <si>
    <t>NZL 11</t>
  </si>
  <si>
    <t>ESP 11</t>
  </si>
  <si>
    <t>CPV 11</t>
  </si>
  <si>
    <t>KSA 11</t>
  </si>
  <si>
    <t>URU 11</t>
  </si>
  <si>
    <t>FRA 11</t>
  </si>
  <si>
    <t>SEN 11</t>
  </si>
  <si>
    <t>IRQ 11</t>
  </si>
  <si>
    <t>NOR 11</t>
  </si>
  <si>
    <t>ARG 11</t>
  </si>
  <si>
    <t>ALG 11</t>
  </si>
  <si>
    <t>AUT 11</t>
  </si>
  <si>
    <t>JOR 11</t>
  </si>
  <si>
    <t>POR 11</t>
  </si>
  <si>
    <t>COD 11</t>
  </si>
  <si>
    <t>UZB 11</t>
  </si>
  <si>
    <t>COL 11</t>
  </si>
  <si>
    <t>ENG 11</t>
  </si>
  <si>
    <t>CRO 11</t>
  </si>
  <si>
    <t>GHA 11</t>
  </si>
  <si>
    <t>PAN 11</t>
  </si>
  <si>
    <t>FW 10</t>
  </si>
  <si>
    <t>MEX 12</t>
  </si>
  <si>
    <t>RSA 12</t>
  </si>
  <si>
    <t>KOR 12</t>
  </si>
  <si>
    <t>CZE 12</t>
  </si>
  <si>
    <t>CAN 12</t>
  </si>
  <si>
    <t>BIH 12</t>
  </si>
  <si>
    <t>QAT 12</t>
  </si>
  <si>
    <t>SUI 12</t>
  </si>
  <si>
    <t>BRA 12</t>
  </si>
  <si>
    <t>MAR 12</t>
  </si>
  <si>
    <t>HAI 12</t>
  </si>
  <si>
    <t>SCO 12</t>
  </si>
  <si>
    <t>USA 12</t>
  </si>
  <si>
    <t>PAR 12</t>
  </si>
  <si>
    <t>AUS 12</t>
  </si>
  <si>
    <t>TUR 12</t>
  </si>
  <si>
    <t>GER 12</t>
  </si>
  <si>
    <t>CUW 12</t>
  </si>
  <si>
    <t>CIV 12</t>
  </si>
  <si>
    <t>ECU 12</t>
  </si>
  <si>
    <t>NED 12</t>
  </si>
  <si>
    <t>JPN 12</t>
  </si>
  <si>
    <t>SWE 12</t>
  </si>
  <si>
    <t>TUN 12</t>
  </si>
  <si>
    <t>BEL 12</t>
  </si>
  <si>
    <t>EGY 12</t>
  </si>
  <si>
    <t>IRN 12</t>
  </si>
  <si>
    <t>NZL 12</t>
  </si>
  <si>
    <t>ESP 12</t>
  </si>
  <si>
    <t>CPV 12</t>
  </si>
  <si>
    <t>KSA 12</t>
  </si>
  <si>
    <t>URU 12</t>
  </si>
  <si>
    <t>FRA 12</t>
  </si>
  <si>
    <t>SEN 12</t>
  </si>
  <si>
    <t>IRQ 12</t>
  </si>
  <si>
    <t>NOR 12</t>
  </si>
  <si>
    <t>ARG 12</t>
  </si>
  <si>
    <t>ALG 12</t>
  </si>
  <si>
    <t>AUT 12</t>
  </si>
  <si>
    <t>JOR 12</t>
  </si>
  <si>
    <t>POR 12</t>
  </si>
  <si>
    <t>COD 12</t>
  </si>
  <si>
    <t>UZB 12</t>
  </si>
  <si>
    <t>COL 12</t>
  </si>
  <si>
    <t>ENG 12</t>
  </si>
  <si>
    <t>CRO 12</t>
  </si>
  <si>
    <t>GHA 12</t>
  </si>
  <si>
    <t>PAN 12</t>
  </si>
  <si>
    <t>FW 11</t>
  </si>
  <si>
    <t>MEX 13</t>
  </si>
  <si>
    <t>RSA 13</t>
  </si>
  <si>
    <t>KOR 13</t>
  </si>
  <si>
    <t>CZE 13</t>
  </si>
  <si>
    <t>CAN 13</t>
  </si>
  <si>
    <t>BIH 13</t>
  </si>
  <si>
    <t>QAT 13</t>
  </si>
  <si>
    <t>SUI 13</t>
  </si>
  <si>
    <t>BRA 13</t>
  </si>
  <si>
    <t>MAR 13</t>
  </si>
  <si>
    <t>HAI 13</t>
  </si>
  <si>
    <t>SCO 13</t>
  </si>
  <si>
    <t>USA 13</t>
  </si>
  <si>
    <t>PAR 13</t>
  </si>
  <si>
    <t>AUS 13</t>
  </si>
  <si>
    <t>TUR 13</t>
  </si>
  <si>
    <t>GER 13</t>
  </si>
  <si>
    <t>CUW 13</t>
  </si>
  <si>
    <t>CIV 13</t>
  </si>
  <si>
    <t>ECU 13</t>
  </si>
  <si>
    <t>NED 13</t>
  </si>
  <si>
    <t>JPN 13</t>
  </si>
  <si>
    <t>SWE 13</t>
  </si>
  <si>
    <t>TUN 13</t>
  </si>
  <si>
    <t>BEL 13</t>
  </si>
  <si>
    <t>EGY 13</t>
  </si>
  <si>
    <t>IRN 13</t>
  </si>
  <si>
    <t>NZL 13</t>
  </si>
  <si>
    <t>ESP 13</t>
  </si>
  <si>
    <t>CPV 13</t>
  </si>
  <si>
    <t>KSA 13</t>
  </si>
  <si>
    <t>URU 13</t>
  </si>
  <si>
    <t>FRA 13</t>
  </si>
  <si>
    <t>SEN 13</t>
  </si>
  <si>
    <t>IRQ 13</t>
  </si>
  <si>
    <t>NOR 13</t>
  </si>
  <si>
    <t>ARG 13</t>
  </si>
  <si>
    <t>ALG 13</t>
  </si>
  <si>
    <t>AUT 13</t>
  </si>
  <si>
    <t>JOR 13</t>
  </si>
  <si>
    <t>POR 13</t>
  </si>
  <si>
    <t>COD 13</t>
  </si>
  <si>
    <t>UZB 13</t>
  </si>
  <si>
    <t>COL 13</t>
  </si>
  <si>
    <t>ENG 13</t>
  </si>
  <si>
    <t>CRO 13</t>
  </si>
  <si>
    <t>GHA 13</t>
  </si>
  <si>
    <t>PAN 13</t>
  </si>
  <si>
    <t>FW 12</t>
  </si>
  <si>
    <t>MEX 14</t>
  </si>
  <si>
    <t>RSA 14</t>
  </si>
  <si>
    <t>KOR 14</t>
  </si>
  <si>
    <t>CZE 14</t>
  </si>
  <si>
    <t>CAN 14</t>
  </si>
  <si>
    <t>BIH 14</t>
  </si>
  <si>
    <t>QAT 14</t>
  </si>
  <si>
    <t>SUI 14</t>
  </si>
  <si>
    <t>BRA 14(VINICIUS)</t>
  </si>
  <si>
    <t>MAR 14</t>
  </si>
  <si>
    <t>HAI 14</t>
  </si>
  <si>
    <t>SCO 14</t>
  </si>
  <si>
    <t>USA 14</t>
  </si>
  <si>
    <t>PAR 14</t>
  </si>
  <si>
    <t>AUS 14</t>
  </si>
  <si>
    <t>TUR 14</t>
  </si>
  <si>
    <t>GER 14</t>
  </si>
  <si>
    <t>CUW 14</t>
  </si>
  <si>
    <t>CIV 14</t>
  </si>
  <si>
    <t>ECU 14</t>
  </si>
  <si>
    <t>NED 14</t>
  </si>
  <si>
    <t>JPN 14</t>
  </si>
  <si>
    <t>SWE 14</t>
  </si>
  <si>
    <t>TUN 14</t>
  </si>
  <si>
    <t>BEL 14</t>
  </si>
  <si>
    <t>EGY 14</t>
  </si>
  <si>
    <t>IRN 14</t>
  </si>
  <si>
    <t>NZL 14</t>
  </si>
  <si>
    <t>ESP 14</t>
  </si>
  <si>
    <t>CPV 14</t>
  </si>
  <si>
    <t>KSA 14</t>
  </si>
  <si>
    <t>URU 14</t>
  </si>
  <si>
    <t>FRA 14</t>
  </si>
  <si>
    <t>SEN 14</t>
  </si>
  <si>
    <t>IRQ 14</t>
  </si>
  <si>
    <t>NOR 14</t>
  </si>
  <si>
    <t>ARG 14</t>
  </si>
  <si>
    <t>ALG 14</t>
  </si>
  <si>
    <t>AUT 14</t>
  </si>
  <si>
    <t>JOR 14</t>
  </si>
  <si>
    <t>POR 14</t>
  </si>
  <si>
    <t>COD 14</t>
  </si>
  <si>
    <t>UZB 14</t>
  </si>
  <si>
    <t>COL 14 (James Rodríguez)</t>
  </si>
  <si>
    <t>ENG 14</t>
  </si>
  <si>
    <t>CRO 14</t>
  </si>
  <si>
    <t>GHA 14</t>
  </si>
  <si>
    <t>PAN 14</t>
  </si>
  <si>
    <t>FW 13</t>
  </si>
  <si>
    <t>MEX 15</t>
  </si>
  <si>
    <t>RSA 15</t>
  </si>
  <si>
    <t xml:space="preserve">KOR 15 </t>
  </si>
  <si>
    <t>CZE 15</t>
  </si>
  <si>
    <t>CAN 15</t>
  </si>
  <si>
    <t>BIH 15</t>
  </si>
  <si>
    <t>QAT 15</t>
  </si>
  <si>
    <t>SUI 15</t>
  </si>
  <si>
    <t>BRA 15</t>
  </si>
  <si>
    <t>MAR 15</t>
  </si>
  <si>
    <t>HAI 15</t>
  </si>
  <si>
    <t>SCO 15</t>
  </si>
  <si>
    <t>USA 15</t>
  </si>
  <si>
    <t>PAR 15</t>
  </si>
  <si>
    <t>AUS 15</t>
  </si>
  <si>
    <t>TUR 15</t>
  </si>
  <si>
    <t>GER 15</t>
  </si>
  <si>
    <t>CUW 15</t>
  </si>
  <si>
    <t>CIV 15</t>
  </si>
  <si>
    <t>ECU 15</t>
  </si>
  <si>
    <t>NED 15</t>
  </si>
  <si>
    <t>JPN 15</t>
  </si>
  <si>
    <t>SWE 15</t>
  </si>
  <si>
    <t>TUN 15</t>
  </si>
  <si>
    <t>BEL 15</t>
  </si>
  <si>
    <t>EGY 15</t>
  </si>
  <si>
    <t>IRN 15</t>
  </si>
  <si>
    <t>NZL 15</t>
  </si>
  <si>
    <t>ESP 15(LAMINE)</t>
  </si>
  <si>
    <t>CPV 15</t>
  </si>
  <si>
    <t>KSA 15</t>
  </si>
  <si>
    <t>URU 15</t>
  </si>
  <si>
    <t>FRA 15(DEMBELE)</t>
  </si>
  <si>
    <t>SEN 15</t>
  </si>
  <si>
    <t>IRQ 15</t>
  </si>
  <si>
    <t>NOR 15(HAALAND)</t>
  </si>
  <si>
    <t>ARG 15</t>
  </si>
  <si>
    <t>ALG 15</t>
  </si>
  <si>
    <t>AUT 15</t>
  </si>
  <si>
    <t>JOR 15</t>
  </si>
  <si>
    <t>POR 15 (CR7)</t>
  </si>
  <si>
    <t>COD 15</t>
  </si>
  <si>
    <t>UZB 15</t>
  </si>
  <si>
    <t>COL 15</t>
  </si>
  <si>
    <t>ENG 15</t>
  </si>
  <si>
    <t>CRO 15</t>
  </si>
  <si>
    <t>GHA 15</t>
  </si>
  <si>
    <t>PAN 15</t>
  </si>
  <si>
    <t>FW 14</t>
  </si>
  <si>
    <t>MEX 16</t>
  </si>
  <si>
    <t>RSA 16</t>
  </si>
  <si>
    <t>KOR 16</t>
  </si>
  <si>
    <t>CZE 16</t>
  </si>
  <si>
    <t>CAN 16</t>
  </si>
  <si>
    <t>BIH 16</t>
  </si>
  <si>
    <t>QAT 16</t>
  </si>
  <si>
    <t>SUI 16</t>
  </si>
  <si>
    <t>BRA 16</t>
  </si>
  <si>
    <t>MAR 16</t>
  </si>
  <si>
    <t>HAI 16</t>
  </si>
  <si>
    <t>SCO 16</t>
  </si>
  <si>
    <t>USA 16</t>
  </si>
  <si>
    <t>PAR 16</t>
  </si>
  <si>
    <t>AUS 16</t>
  </si>
  <si>
    <t>TUR 16</t>
  </si>
  <si>
    <t>GER 16</t>
  </si>
  <si>
    <t>CUW 16</t>
  </si>
  <si>
    <t>CIV 16</t>
  </si>
  <si>
    <t>ECU 16</t>
  </si>
  <si>
    <t>NED 16</t>
  </si>
  <si>
    <t>JPN 16</t>
  </si>
  <si>
    <t>SWE 16</t>
  </si>
  <si>
    <t>TUN 16</t>
  </si>
  <si>
    <t>BEL 16</t>
  </si>
  <si>
    <t>EGY 16</t>
  </si>
  <si>
    <t>IRN 16</t>
  </si>
  <si>
    <t>NZL 16</t>
  </si>
  <si>
    <t>ESP 16</t>
  </si>
  <si>
    <t>CPV 16</t>
  </si>
  <si>
    <t>KSA 16</t>
  </si>
  <si>
    <t>URU 16</t>
  </si>
  <si>
    <t>FRA 16</t>
  </si>
  <si>
    <t>SEN 16</t>
  </si>
  <si>
    <t>IRQ 16</t>
  </si>
  <si>
    <t>NOR 16</t>
  </si>
  <si>
    <t>ARG 16</t>
  </si>
  <si>
    <t>ALG 16</t>
  </si>
  <si>
    <t>AUT 16</t>
  </si>
  <si>
    <t>JOR 16</t>
  </si>
  <si>
    <t>POR 16</t>
  </si>
  <si>
    <t>COD 16</t>
  </si>
  <si>
    <t>UZB 16</t>
  </si>
  <si>
    <t>COL 16</t>
  </si>
  <si>
    <t>ENG 16</t>
  </si>
  <si>
    <t>CRO 16</t>
  </si>
  <si>
    <t>GHA 16</t>
  </si>
  <si>
    <t>PAN 16</t>
  </si>
  <si>
    <t>FW 15</t>
  </si>
  <si>
    <t>MEX 17</t>
  </si>
  <si>
    <t>RSA 17</t>
  </si>
  <si>
    <t>KOR 17</t>
  </si>
  <si>
    <t>CZE 17</t>
  </si>
  <si>
    <t>CAN 17</t>
  </si>
  <si>
    <t>BIH 17</t>
  </si>
  <si>
    <t>QAT 17</t>
  </si>
  <si>
    <t>SUI 17</t>
  </si>
  <si>
    <t>BRA 17</t>
  </si>
  <si>
    <t>MAR 17</t>
  </si>
  <si>
    <t>HAI 17</t>
  </si>
  <si>
    <t>SCO 17</t>
  </si>
  <si>
    <t>USA 17</t>
  </si>
  <si>
    <t>PAR 17</t>
  </si>
  <si>
    <t>AUS 17</t>
  </si>
  <si>
    <t>TUR 17</t>
  </si>
  <si>
    <t>GER 17</t>
  </si>
  <si>
    <t>CUW 17</t>
  </si>
  <si>
    <t>CIV 17</t>
  </si>
  <si>
    <t>ECU 17</t>
  </si>
  <si>
    <t>NED 17</t>
  </si>
  <si>
    <t>JPN 17</t>
  </si>
  <si>
    <t>SWE 17</t>
  </si>
  <si>
    <t>TUN 17</t>
  </si>
  <si>
    <t>BEL 17</t>
  </si>
  <si>
    <t>EGY 17</t>
  </si>
  <si>
    <t>IRN 17</t>
  </si>
  <si>
    <t>NZL 17</t>
  </si>
  <si>
    <t>ESP 17</t>
  </si>
  <si>
    <t>CPV 17</t>
  </si>
  <si>
    <t>KSA 17</t>
  </si>
  <si>
    <t>URU 17</t>
  </si>
  <si>
    <t>FRA 17</t>
  </si>
  <si>
    <t>SEN 17</t>
  </si>
  <si>
    <t>IRQ 17</t>
  </si>
  <si>
    <t>NOR 17</t>
  </si>
  <si>
    <t>ARG 17(MESSI)</t>
  </si>
  <si>
    <t>ALG 17</t>
  </si>
  <si>
    <t>AUT 17</t>
  </si>
  <si>
    <t>JOR 17</t>
  </si>
  <si>
    <t>POR 17</t>
  </si>
  <si>
    <t>COD 17</t>
  </si>
  <si>
    <t>UZB 17</t>
  </si>
  <si>
    <t>COL 17</t>
  </si>
  <si>
    <t>ENG 17</t>
  </si>
  <si>
    <t>CRO 17</t>
  </si>
  <si>
    <t>GHA 17</t>
  </si>
  <si>
    <t>PAN 17</t>
  </si>
  <si>
    <t>FW 16</t>
  </si>
  <si>
    <t>MEX 18</t>
  </si>
  <si>
    <t>RSA 18</t>
  </si>
  <si>
    <t>KOR 18</t>
  </si>
  <si>
    <t>CZE 18</t>
  </si>
  <si>
    <t>CAN 18</t>
  </si>
  <si>
    <t>BIH 18</t>
  </si>
  <si>
    <t>QAT 18</t>
  </si>
  <si>
    <t>SUI 18</t>
  </si>
  <si>
    <t>BRA 18</t>
  </si>
  <si>
    <t>MAR 18</t>
  </si>
  <si>
    <t>HAI 18</t>
  </si>
  <si>
    <t>SCO 18</t>
  </si>
  <si>
    <t>USA 18</t>
  </si>
  <si>
    <t>PAR 18</t>
  </si>
  <si>
    <t>AUS 18</t>
  </si>
  <si>
    <t>TUR 18</t>
  </si>
  <si>
    <t>GER 18</t>
  </si>
  <si>
    <t>CUW 18</t>
  </si>
  <si>
    <t>CIV 18</t>
  </si>
  <si>
    <t>ECU 18</t>
  </si>
  <si>
    <t>NED 18</t>
  </si>
  <si>
    <t>JPN 18</t>
  </si>
  <si>
    <t>SWE 18</t>
  </si>
  <si>
    <t>TUN 18</t>
  </si>
  <si>
    <t>BEL 18</t>
  </si>
  <si>
    <t>EGY 18</t>
  </si>
  <si>
    <t>IRN 18</t>
  </si>
  <si>
    <t>NZL 18</t>
  </si>
  <si>
    <t>ESP 18</t>
  </si>
  <si>
    <t>CPV 18</t>
  </si>
  <si>
    <t>KSA 18</t>
  </si>
  <si>
    <t>URU 18</t>
  </si>
  <si>
    <t>FRA 18</t>
  </si>
  <si>
    <t>SEN 18</t>
  </si>
  <si>
    <t>IRQ 18</t>
  </si>
  <si>
    <t>NOR 18</t>
  </si>
  <si>
    <t>ARG 18</t>
  </si>
  <si>
    <t>ALG 18</t>
  </si>
  <si>
    <t>AUT 18</t>
  </si>
  <si>
    <t>JOR 18</t>
  </si>
  <si>
    <t>POR 18</t>
  </si>
  <si>
    <t>COD 18</t>
  </si>
  <si>
    <t>UZB 18</t>
  </si>
  <si>
    <t>COL 18</t>
  </si>
  <si>
    <t>ENG 18</t>
  </si>
  <si>
    <t>CRO 18</t>
  </si>
  <si>
    <t>GHA 18</t>
  </si>
  <si>
    <t>PAN 18</t>
  </si>
  <si>
    <t>FW 17</t>
  </si>
  <si>
    <t>MEX 19</t>
  </si>
  <si>
    <t>RSA 19</t>
  </si>
  <si>
    <t>KOR 19</t>
  </si>
  <si>
    <t>CZE 19</t>
  </si>
  <si>
    <t>CAN 19</t>
  </si>
  <si>
    <t>BIH 19</t>
  </si>
  <si>
    <t>QAT 19</t>
  </si>
  <si>
    <t>SUI 19</t>
  </si>
  <si>
    <t>BRA 19(RAFINHA)</t>
  </si>
  <si>
    <t>MAR 19</t>
  </si>
  <si>
    <t>HAI 19</t>
  </si>
  <si>
    <t>SCO 19</t>
  </si>
  <si>
    <t>USA 19</t>
  </si>
  <si>
    <t>PAR 19</t>
  </si>
  <si>
    <t>AUS 19</t>
  </si>
  <si>
    <t>TUR 19</t>
  </si>
  <si>
    <t>GER 19</t>
  </si>
  <si>
    <t>CUW 19</t>
  </si>
  <si>
    <t>CIV 19</t>
  </si>
  <si>
    <t>ECU 19</t>
  </si>
  <si>
    <t>NED 19</t>
  </si>
  <si>
    <t>JPN 19</t>
  </si>
  <si>
    <t>SWE 19</t>
  </si>
  <si>
    <t>TUN 19</t>
  </si>
  <si>
    <t>BEL 19</t>
  </si>
  <si>
    <t>EGY 19</t>
  </si>
  <si>
    <t>IRN 19</t>
  </si>
  <si>
    <t>NZL 19</t>
  </si>
  <si>
    <t>ESP 19</t>
  </si>
  <si>
    <t>CPV 19</t>
  </si>
  <si>
    <t>KSA 19</t>
  </si>
  <si>
    <t>URU 19</t>
  </si>
  <si>
    <t>FRA 19</t>
  </si>
  <si>
    <t>SEN 19</t>
  </si>
  <si>
    <t>IRQ 19</t>
  </si>
  <si>
    <t>NOR 19</t>
  </si>
  <si>
    <t>ARG 19(JULIAN)</t>
  </si>
  <si>
    <t>ALG 19</t>
  </si>
  <si>
    <t>AUT 19</t>
  </si>
  <si>
    <t>JOR 19</t>
  </si>
  <si>
    <t>POR 19</t>
  </si>
  <si>
    <t>COD 19</t>
  </si>
  <si>
    <t>UZB 19</t>
  </si>
  <si>
    <t>COL 19</t>
  </si>
  <si>
    <t>ENG 19</t>
  </si>
  <si>
    <t>CRO 19</t>
  </si>
  <si>
    <t>GHA 19</t>
  </si>
  <si>
    <t>PAN 19</t>
  </si>
  <si>
    <t>FW 18</t>
  </si>
  <si>
    <t>MEX 20</t>
  </si>
  <si>
    <t>RSA 20</t>
  </si>
  <si>
    <t>KOR 20</t>
  </si>
  <si>
    <t>CZE 20</t>
  </si>
  <si>
    <t>CAN 20</t>
  </si>
  <si>
    <t>BIH 20</t>
  </si>
  <si>
    <t>QAT 20</t>
  </si>
  <si>
    <t>SUI 20</t>
  </si>
  <si>
    <t>BRA 20</t>
  </si>
  <si>
    <t>MAR 20</t>
  </si>
  <si>
    <t>HAI 20</t>
  </si>
  <si>
    <t>SCO 20</t>
  </si>
  <si>
    <t>USA 20</t>
  </si>
  <si>
    <t>PAR 20</t>
  </si>
  <si>
    <t>AUS 20</t>
  </si>
  <si>
    <t>TUR 20</t>
  </si>
  <si>
    <t>GER 20</t>
  </si>
  <si>
    <t>CUW 20</t>
  </si>
  <si>
    <t>CIV 20</t>
  </si>
  <si>
    <t>ECU 20</t>
  </si>
  <si>
    <t>NED 20</t>
  </si>
  <si>
    <t>JPN 20</t>
  </si>
  <si>
    <t>SWE 20</t>
  </si>
  <si>
    <t>TUN 20</t>
  </si>
  <si>
    <t>BEL 20</t>
  </si>
  <si>
    <t>EGY 20</t>
  </si>
  <si>
    <t>IRN 20</t>
  </si>
  <si>
    <t>NZL 20</t>
  </si>
  <si>
    <t>ESP 20</t>
  </si>
  <si>
    <t>CPV 20</t>
  </si>
  <si>
    <t>KSA 20</t>
  </si>
  <si>
    <t>URU 20</t>
  </si>
  <si>
    <t>FRA 20(MBAPPE)</t>
  </si>
  <si>
    <t>SEN 20</t>
  </si>
  <si>
    <t>IRQ 20</t>
  </si>
  <si>
    <t>NOR 20</t>
  </si>
  <si>
    <t>ARG 20</t>
  </si>
  <si>
    <t>ALG 20</t>
  </si>
  <si>
    <t>AUT 20</t>
  </si>
  <si>
    <t>JOR 20</t>
  </si>
  <si>
    <t>POR 20</t>
  </si>
  <si>
    <t>COD 20</t>
  </si>
  <si>
    <t>UZB 20</t>
  </si>
  <si>
    <t>COL 20</t>
  </si>
  <si>
    <t>ENG 20</t>
  </si>
  <si>
    <t>CRO 20</t>
  </si>
  <si>
    <t>GHA 20</t>
  </si>
  <si>
    <t>PAN 20</t>
  </si>
  <si>
    <t>FW 19</t>
  </si>
  <si>
    <t>TOTAL</t>
  </si>
  <si>
    <t>Suma totales</t>
  </si>
  <si>
    <t>*</t>
  </si>
  <si>
    <t>Parametros</t>
  </si>
  <si>
    <t>Postales</t>
  </si>
  <si>
    <t>Inversion</t>
  </si>
  <si>
    <t>Cant</t>
  </si>
  <si>
    <t>Precio</t>
  </si>
  <si>
    <t>Total</t>
  </si>
  <si>
    <t>Mitad</t>
  </si>
  <si>
    <t>Bajo</t>
  </si>
  <si>
    <t>Tipo</t>
  </si>
  <si>
    <t>Cantidad</t>
  </si>
  <si>
    <t>Dinero</t>
  </si>
  <si>
    <t>Cubos</t>
  </si>
  <si>
    <t>Medio</t>
  </si>
  <si>
    <t>Normales</t>
  </si>
  <si>
    <t>Alto</t>
  </si>
  <si>
    <t>Normales real</t>
  </si>
  <si>
    <t>Extremo</t>
  </si>
  <si>
    <t>Escudos</t>
  </si>
  <si>
    <t>Seleccion</t>
  </si>
  <si>
    <t>FW</t>
  </si>
  <si>
    <t>"00"</t>
  </si>
  <si>
    <t>Osumane,Raphinha,Modric,Vinicius,Julian,Haaland</t>
  </si>
  <si>
    <t>Lamine,Mbappe</t>
  </si>
  <si>
    <t>Messi, CR7</t>
  </si>
  <si>
    <t>-</t>
  </si>
  <si>
    <t>Osumane, Raphinha, Modric, Vinicius</t>
  </si>
  <si>
    <t>Lamine, Mbappe</t>
  </si>
  <si>
    <t>Cant Bajas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</si>
</sst>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₡]#,##0"/>
  </numFmts>
  <fonts count="27">
    <font>
      <sz val="10.0"/>
      <color rgb="FF000000"/>
      <name val="Arial"/>
      <scheme val="minor"/>
    </font>
    <font>
      <b/>
      <sz val="22.0"/>
      <color theme="1"/>
      <name val="Arial"/>
    </font>
    <font/>
    <font>
      <sz val="22.0"/>
      <color theme="1"/>
      <name val="Abadi"/>
    </font>
    <font>
      <b/>
      <sz val="14.0"/>
      <color theme="1"/>
      <name val="Abadi"/>
    </font>
    <font>
      <b/>
      <sz val="14.0"/>
      <color theme="1"/>
      <name val="Arial"/>
    </font>
    <font>
      <b/>
      <sz val="12.0"/>
      <color theme="1"/>
      <name val="Aharoni"/>
    </font>
    <font>
      <b/>
      <sz val="11.0"/>
      <color rgb="FFFFF2CC"/>
      <name val="Calibri"/>
    </font>
    <font>
      <sz val="11.0"/>
      <color theme="1"/>
      <name val="Calibri"/>
    </font>
    <font>
      <b/>
      <sz val="11.0"/>
      <color rgb="FF351C75"/>
      <name val="Calibri"/>
    </font>
    <font>
      <b/>
      <sz val="11.0"/>
      <color rgb="FFFFFFFF"/>
      <name val="Calibri"/>
    </font>
    <font>
      <sz val="11.0"/>
      <color rgb="FFE6B8AF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FFFFFF"/>
      <name val="Calibri"/>
    </font>
    <font>
      <b/>
      <sz val="11.0"/>
      <color rgb="FF3D85C6"/>
      <name val="Calibri"/>
    </font>
    <font>
      <color theme="1"/>
      <name val="Arial"/>
      <scheme val="minor"/>
    </font>
    <font>
      <b/>
      <sz val="11.0"/>
      <color rgb="FFFFFFFF"/>
      <name val="Arial"/>
      <scheme val="minor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rgb="FFB7B7B7"/>
      <name val="Arial"/>
      <scheme val="minor"/>
    </font>
    <font>
      <color rgb="FFB7B7B7"/>
      <name val="Arial"/>
      <scheme val="minor"/>
    </font>
    <font>
      <b/>
      <sz val="12.0"/>
      <color rgb="FFB7B7B7"/>
      <name val="Arial"/>
      <scheme val="minor"/>
    </font>
    <font>
      <sz val="11.0"/>
      <color theme="1"/>
      <name val="Arial"/>
    </font>
    <font>
      <b/>
      <sz val="21.0"/>
      <color rgb="FFFFFFFF"/>
      <name val="Arial"/>
    </font>
    <font>
      <b/>
      <sz val="21.0"/>
      <color theme="1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FF00"/>
        <bgColor rgb="FF00FF00"/>
      </patternFill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rgb="FF76A5AF"/>
        <bgColor rgb="FF76A5AF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C27BA0"/>
        <bgColor rgb="FFC27BA0"/>
      </patternFill>
    </fill>
    <fill>
      <patternFill patternType="solid">
        <fgColor rgb="FF85200C"/>
        <bgColor rgb="FF85200C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7F7F7F"/>
        <bgColor rgb="FF7F7F7F"/>
      </patternFill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1155CC"/>
        <bgColor rgb="FF1155CC"/>
      </patternFill>
    </fill>
    <fill>
      <patternFill patternType="solid">
        <fgColor rgb="FF741B47"/>
        <bgColor rgb="FF741B47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  <fill>
      <patternFill patternType="solid">
        <fgColor rgb="FF5B0F00"/>
        <bgColor rgb="FF5B0F00"/>
      </patternFill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</fills>
  <borders count="1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7F7F7F"/>
      </right>
      <bottom style="medium">
        <color rgb="FF000000"/>
      </bottom>
    </border>
    <border>
      <right style="thin">
        <color rgb="FF7F7F7F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2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10" fontId="1" numFmtId="0" xfId="0" applyAlignment="1" applyBorder="1" applyFill="1" applyFont="1">
      <alignment horizontal="center" readingOrder="0"/>
    </xf>
    <xf borderId="1" fillId="11" fontId="1" numFmtId="0" xfId="0" applyAlignment="1" applyBorder="1" applyFill="1" applyFont="1">
      <alignment horizontal="center" readingOrder="0"/>
    </xf>
    <xf borderId="1" fillId="12" fontId="1" numFmtId="0" xfId="0" applyAlignment="1" applyBorder="1" applyFill="1" applyFont="1">
      <alignment horizontal="center" readingOrder="0"/>
    </xf>
    <xf borderId="3" fillId="13" fontId="3" numFmtId="0" xfId="0" applyAlignment="1" applyBorder="1" applyFill="1" applyFont="1">
      <alignment horizontal="center"/>
    </xf>
    <xf borderId="4" fillId="0" fontId="2" numFmtId="0" xfId="0" applyBorder="1" applyFont="1"/>
    <xf borderId="0" fillId="0" fontId="3" numFmtId="0" xfId="0" applyAlignment="1" applyFont="1">
      <alignment horizontal="center"/>
    </xf>
    <xf borderId="5" fillId="14" fontId="4" numFmtId="0" xfId="0" applyAlignment="1" applyBorder="1" applyFill="1" applyFont="1">
      <alignment horizontal="center" readingOrder="0" shrinkToFit="0" wrapText="1"/>
    </xf>
    <xf borderId="5" fillId="14" fontId="5" numFmtId="0" xfId="0" applyAlignment="1" applyBorder="1" applyFont="1">
      <alignment horizontal="center" readingOrder="0" shrinkToFit="0" wrapText="1"/>
    </xf>
    <xf borderId="5" fillId="13" fontId="4" numFmtId="0" xfId="0" applyAlignment="1" applyBorder="1" applyFont="1">
      <alignment horizontal="center" readingOrder="0" shrinkToFit="0" wrapText="1"/>
    </xf>
    <xf borderId="6" fillId="15" fontId="6" numFmtId="0" xfId="0" applyAlignment="1" applyBorder="1" applyFill="1" applyFont="1">
      <alignment horizontal="center" shrinkToFit="0" wrapText="1"/>
    </xf>
    <xf borderId="2" fillId="15" fontId="6" numFmtId="0" xfId="0" applyAlignment="1" applyBorder="1" applyFont="1">
      <alignment horizontal="center" shrinkToFit="0" wrapText="1"/>
    </xf>
    <xf borderId="7" fillId="15" fontId="6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8" fillId="16" fontId="7" numFmtId="0" xfId="0" applyAlignment="1" applyBorder="1" applyFill="1" applyFont="1">
      <alignment readingOrder="0" vertical="bottom"/>
    </xf>
    <xf borderId="9" fillId="17" fontId="8" numFmtId="0" xfId="0" applyAlignment="1" applyBorder="1" applyFill="1" applyFont="1">
      <alignment horizontal="right" readingOrder="0" vertical="bottom"/>
    </xf>
    <xf borderId="8" fillId="17" fontId="9" numFmtId="0" xfId="0" applyAlignment="1" applyBorder="1" applyFont="1">
      <alignment readingOrder="0" vertical="bottom"/>
    </xf>
    <xf borderId="8" fillId="18" fontId="9" numFmtId="0" xfId="0" applyAlignment="1" applyBorder="1" applyFill="1" applyFont="1">
      <alignment readingOrder="0" vertical="bottom"/>
    </xf>
    <xf borderId="0" fillId="0" fontId="9" numFmtId="0" xfId="0" applyAlignment="1" applyFont="1">
      <alignment readingOrder="0" vertical="bottom"/>
    </xf>
    <xf borderId="8" fillId="18" fontId="9" numFmtId="49" xfId="0" applyAlignment="1" applyBorder="1" applyFont="1" applyNumberFormat="1">
      <alignment readingOrder="0" vertical="bottom"/>
    </xf>
    <xf borderId="9" fillId="17" fontId="10" numFmtId="0" xfId="0" applyAlignment="1" applyBorder="1" applyFont="1">
      <alignment horizontal="right" readingOrder="0" vertical="bottom"/>
    </xf>
    <xf borderId="9" fillId="17" fontId="11" numFmtId="0" xfId="0" applyAlignment="1" applyBorder="1" applyFont="1">
      <alignment horizontal="right" readingOrder="0" vertical="bottom"/>
    </xf>
    <xf borderId="8" fillId="6" fontId="10" numFmtId="0" xfId="0" applyAlignment="1" applyBorder="1" applyFont="1">
      <alignment readingOrder="0" vertical="bottom"/>
    </xf>
    <xf borderId="8" fillId="19" fontId="12" numFmtId="0" xfId="0" applyAlignment="1" applyBorder="1" applyFill="1" applyFont="1">
      <alignment readingOrder="0" vertical="bottom"/>
    </xf>
    <xf borderId="9" fillId="19" fontId="12" numFmtId="0" xfId="0" applyAlignment="1" applyBorder="1" applyFont="1">
      <alignment horizontal="right" readingOrder="0" vertical="bottom"/>
    </xf>
    <xf borderId="0" fillId="0" fontId="12" numFmtId="0" xfId="0" applyAlignment="1" applyFont="1">
      <alignment horizontal="right" readingOrder="0" vertical="bottom"/>
    </xf>
    <xf borderId="8" fillId="20" fontId="10" numFmtId="0" xfId="0" applyAlignment="1" applyBorder="1" applyFill="1" applyFont="1">
      <alignment readingOrder="0" vertical="bottom"/>
    </xf>
    <xf borderId="8" fillId="21" fontId="10" numFmtId="0" xfId="0" applyAlignment="1" applyBorder="1" applyFill="1" applyFont="1">
      <alignment readingOrder="0" vertical="bottom"/>
    </xf>
    <xf borderId="8" fillId="9" fontId="10" numFmtId="0" xfId="0" applyAlignment="1" applyBorder="1" applyFont="1">
      <alignment readingOrder="0" vertical="bottom"/>
    </xf>
    <xf borderId="2" fillId="17" fontId="8" numFmtId="0" xfId="0" applyAlignment="1" applyBorder="1" applyFont="1">
      <alignment horizontal="right" readingOrder="0" vertical="bottom"/>
    </xf>
    <xf borderId="10" fillId="15" fontId="13" numFmtId="0" xfId="0" applyAlignment="1" applyBorder="1" applyFont="1">
      <alignment horizontal="center" vertical="bottom"/>
    </xf>
    <xf borderId="2" fillId="15" fontId="14" numFmtId="0" xfId="0" applyAlignment="1" applyBorder="1" applyFont="1">
      <alignment horizontal="center" vertical="bottom"/>
    </xf>
    <xf borderId="2" fillId="15" fontId="13" numFmtId="0" xfId="0" applyAlignment="1" applyBorder="1" applyFont="1">
      <alignment horizontal="center" vertical="bottom"/>
    </xf>
    <xf borderId="11" fillId="15" fontId="13" numFmtId="0" xfId="0" applyAlignment="1" applyBorder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6" numFmtId="0" xfId="0" applyAlignment="1" applyFont="1">
      <alignment readingOrder="0"/>
    </xf>
    <xf borderId="0" fillId="0" fontId="16" numFmtId="0" xfId="0" applyFont="1"/>
    <xf borderId="0" fillId="22" fontId="17" numFmtId="0" xfId="0" applyAlignment="1" applyFill="1" applyFont="1">
      <alignment horizontal="center" readingOrder="0"/>
    </xf>
    <xf borderId="0" fillId="23" fontId="18" numFmtId="0" xfId="0" applyAlignment="1" applyFill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24" fontId="21" numFmtId="0" xfId="0" applyAlignment="1" applyFill="1" applyFont="1">
      <alignment readingOrder="0"/>
    </xf>
    <xf borderId="0" fillId="24" fontId="22" numFmtId="0" xfId="0" applyFont="1"/>
    <xf borderId="0" fillId="24" fontId="23" numFmtId="0" xfId="0" applyAlignment="1" applyFont="1">
      <alignment readingOrder="0"/>
    </xf>
    <xf borderId="0" fillId="24" fontId="22" numFmtId="164" xfId="0" applyFont="1" applyNumberFormat="1"/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16" numFmtId="164" xfId="0" applyFont="1" applyNumberFormat="1"/>
    <xf borderId="0" fillId="0" fontId="24" numFmtId="0" xfId="0" applyAlignment="1" applyFont="1">
      <alignment vertical="bottom"/>
    </xf>
    <xf borderId="0" fillId="25" fontId="17" numFmtId="0" xfId="0" applyAlignment="1" applyFill="1" applyFont="1">
      <alignment horizontal="center" readingOrder="0"/>
    </xf>
    <xf borderId="0" fillId="0" fontId="19" numFmtId="0" xfId="0" applyAlignment="1" applyFont="1">
      <alignment readingOrder="0" shrinkToFit="0" wrapText="1"/>
    </xf>
    <xf borderId="0" fillId="26" fontId="25" numFmtId="0" xfId="0" applyAlignment="1" applyFill="1" applyFont="1">
      <alignment horizontal="center" vertical="bottom"/>
    </xf>
    <xf borderId="0" fillId="27" fontId="26" numFmtId="0" xfId="0" applyAlignment="1" applyFill="1" applyFont="1">
      <alignment vertical="bottom"/>
    </xf>
    <xf borderId="0" fillId="27" fontId="26" numFmtId="0" xfId="0" applyAlignment="1" applyFont="1">
      <alignment horizontal="center" vertical="bottom"/>
    </xf>
    <xf borderId="0" fillId="0" fontId="26" numFmtId="0" xfId="0" applyAlignment="1" applyFont="1">
      <alignment vertical="bottom"/>
    </xf>
    <xf borderId="0" fillId="0" fontId="26" numFmtId="0" xfId="0" applyAlignment="1" applyFont="1">
      <alignment horizontal="center" vertical="bottom"/>
    </xf>
    <xf borderId="0" fillId="0" fontId="26" numFmtId="0" xfId="0" applyAlignment="1" applyFont="1">
      <alignment readingOrder="0" shrinkToFit="0" vertical="bottom" wrapText="1"/>
    </xf>
    <xf borderId="0" fillId="27" fontId="26" numFmtId="0" xfId="0" applyAlignment="1" applyFont="1">
      <alignment readingOrder="0" vertical="bottom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351C75"/>
          <bgColor rgb="FF351C75"/>
        </patternFill>
      </fill>
      <border/>
    </dxf>
    <dxf>
      <font>
        <b/>
        <color rgb="FF000000"/>
      </font>
      <fill>
        <patternFill patternType="solid">
          <fgColor rgb="FFD9D9D9"/>
          <bgColor rgb="FFD9D9D9"/>
        </patternFill>
      </fill>
      <border/>
    </dxf>
    <dxf>
      <font>
        <color rgb="FF000000"/>
      </font>
      <fill>
        <patternFill patternType="solid">
          <fgColor rgb="FFE67C73"/>
          <bgColor rgb="FFE67C73"/>
        </patternFill>
      </fill>
      <border/>
    </dxf>
    <dxf>
      <font>
        <b/>
        <color rgb="FFFFFFFF"/>
      </font>
      <fill>
        <patternFill patternType="solid">
          <fgColor rgb="FF5B0F00"/>
          <bgColor rgb="FF5B0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7.13"/>
    <col customWidth="1" min="18" max="18" width="5.25"/>
    <col customWidth="1" min="27" max="27" width="5.25"/>
    <col customWidth="1" min="36" max="36" width="5.25"/>
    <col customWidth="1" min="45" max="45" width="5.25"/>
    <col customWidth="1" min="54" max="54" width="5.25"/>
    <col customWidth="1" min="63" max="63" width="5.25"/>
    <col customWidth="1" min="72" max="72" width="5.25"/>
    <col customWidth="1" min="81" max="81" width="5.25"/>
    <col customWidth="1" min="90" max="90" width="5.25"/>
    <col customWidth="1" min="99" max="99" width="5.25"/>
    <col customWidth="1" min="108" max="108" width="5.2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J1" s="4" t="s">
        <v>1</v>
      </c>
      <c r="K1" s="2"/>
      <c r="L1" s="2"/>
      <c r="M1" s="2"/>
      <c r="N1" s="2"/>
      <c r="O1" s="2"/>
      <c r="P1" s="2"/>
      <c r="Q1" s="3"/>
      <c r="S1" s="5" t="s">
        <v>2</v>
      </c>
      <c r="T1" s="2"/>
      <c r="U1" s="2"/>
      <c r="V1" s="2"/>
      <c r="W1" s="2"/>
      <c r="X1" s="2"/>
      <c r="Y1" s="2"/>
      <c r="Z1" s="3"/>
      <c r="AB1" s="6" t="s">
        <v>3</v>
      </c>
      <c r="AC1" s="2"/>
      <c r="AD1" s="2"/>
      <c r="AE1" s="2"/>
      <c r="AF1" s="2"/>
      <c r="AG1" s="2"/>
      <c r="AH1" s="2"/>
      <c r="AI1" s="3"/>
      <c r="AK1" s="4" t="s">
        <v>4</v>
      </c>
      <c r="AL1" s="2"/>
      <c r="AM1" s="2"/>
      <c r="AN1" s="2"/>
      <c r="AO1" s="2"/>
      <c r="AP1" s="2"/>
      <c r="AQ1" s="2"/>
      <c r="AR1" s="3"/>
      <c r="AT1" s="7" t="s">
        <v>5</v>
      </c>
      <c r="AU1" s="2"/>
      <c r="AV1" s="2"/>
      <c r="AW1" s="2"/>
      <c r="AX1" s="2"/>
      <c r="AY1" s="2"/>
      <c r="AZ1" s="2"/>
      <c r="BA1" s="3"/>
      <c r="BC1" s="8" t="s">
        <v>6</v>
      </c>
      <c r="BD1" s="2"/>
      <c r="BE1" s="2"/>
      <c r="BF1" s="2"/>
      <c r="BG1" s="2"/>
      <c r="BH1" s="2"/>
      <c r="BI1" s="2"/>
      <c r="BJ1" s="3"/>
      <c r="BL1" s="9" t="s">
        <v>7</v>
      </c>
      <c r="BM1" s="2"/>
      <c r="BN1" s="2"/>
      <c r="BO1" s="2"/>
      <c r="BP1" s="2"/>
      <c r="BQ1" s="2"/>
      <c r="BR1" s="2"/>
      <c r="BS1" s="3"/>
      <c r="BU1" s="10" t="s">
        <v>8</v>
      </c>
      <c r="BV1" s="2"/>
      <c r="BW1" s="2"/>
      <c r="BX1" s="2"/>
      <c r="BY1" s="2"/>
      <c r="BZ1" s="2"/>
      <c r="CA1" s="2"/>
      <c r="CB1" s="3"/>
      <c r="CD1" s="11" t="s">
        <v>9</v>
      </c>
      <c r="CE1" s="2"/>
      <c r="CF1" s="2"/>
      <c r="CG1" s="2"/>
      <c r="CH1" s="2"/>
      <c r="CI1" s="2"/>
      <c r="CJ1" s="2"/>
      <c r="CK1" s="3"/>
      <c r="CM1" s="12" t="s">
        <v>10</v>
      </c>
      <c r="CN1" s="2"/>
      <c r="CO1" s="2"/>
      <c r="CP1" s="2"/>
      <c r="CQ1" s="2"/>
      <c r="CR1" s="2"/>
      <c r="CS1" s="2"/>
      <c r="CT1" s="3"/>
      <c r="CV1" s="13" t="s">
        <v>11</v>
      </c>
      <c r="CW1" s="2"/>
      <c r="CX1" s="2"/>
      <c r="CY1" s="2"/>
      <c r="CZ1" s="2"/>
      <c r="DA1" s="2"/>
      <c r="DB1" s="2"/>
      <c r="DC1" s="3"/>
      <c r="DE1" s="14" t="s">
        <v>12</v>
      </c>
      <c r="DF1" s="15"/>
      <c r="DG1" s="16"/>
      <c r="DH1" s="16"/>
      <c r="DI1" s="16"/>
      <c r="DJ1" s="16"/>
    </row>
    <row r="2">
      <c r="A2" s="17" t="s">
        <v>13</v>
      </c>
      <c r="B2" s="3"/>
      <c r="C2" s="17" t="s">
        <v>14</v>
      </c>
      <c r="D2" s="3"/>
      <c r="E2" s="17" t="s">
        <v>15</v>
      </c>
      <c r="F2" s="3"/>
      <c r="G2" s="17" t="s">
        <v>16</v>
      </c>
      <c r="H2" s="3"/>
      <c r="J2" s="17" t="s">
        <v>17</v>
      </c>
      <c r="K2" s="3"/>
      <c r="L2" s="17" t="s">
        <v>18</v>
      </c>
      <c r="M2" s="3"/>
      <c r="N2" s="17" t="s">
        <v>19</v>
      </c>
      <c r="O2" s="3"/>
      <c r="P2" s="17" t="s">
        <v>20</v>
      </c>
      <c r="Q2" s="3"/>
      <c r="S2" s="17" t="s">
        <v>21</v>
      </c>
      <c r="T2" s="3"/>
      <c r="U2" s="17" t="s">
        <v>22</v>
      </c>
      <c r="V2" s="3"/>
      <c r="W2" s="17" t="s">
        <v>23</v>
      </c>
      <c r="X2" s="3"/>
      <c r="Y2" s="17" t="s">
        <v>24</v>
      </c>
      <c r="Z2" s="3"/>
      <c r="AB2" s="17" t="s">
        <v>25</v>
      </c>
      <c r="AC2" s="3"/>
      <c r="AD2" s="17" t="s">
        <v>26</v>
      </c>
      <c r="AE2" s="3"/>
      <c r="AF2" s="17" t="s">
        <v>27</v>
      </c>
      <c r="AG2" s="3"/>
      <c r="AH2" s="17" t="s">
        <v>28</v>
      </c>
      <c r="AI2" s="3"/>
      <c r="AK2" s="17" t="s">
        <v>29</v>
      </c>
      <c r="AL2" s="3"/>
      <c r="AM2" s="17" t="s">
        <v>30</v>
      </c>
      <c r="AN2" s="3"/>
      <c r="AO2" s="17" t="s">
        <v>31</v>
      </c>
      <c r="AP2" s="3"/>
      <c r="AQ2" s="17" t="s">
        <v>32</v>
      </c>
      <c r="AR2" s="3"/>
      <c r="AT2" s="17" t="s">
        <v>33</v>
      </c>
      <c r="AU2" s="3"/>
      <c r="AV2" s="17" t="s">
        <v>34</v>
      </c>
      <c r="AW2" s="3"/>
      <c r="AX2" s="17" t="s">
        <v>35</v>
      </c>
      <c r="AY2" s="3"/>
      <c r="AZ2" s="17" t="s">
        <v>36</v>
      </c>
      <c r="BA2" s="3"/>
      <c r="BC2" s="17" t="s">
        <v>37</v>
      </c>
      <c r="BD2" s="3"/>
      <c r="BE2" s="17" t="s">
        <v>38</v>
      </c>
      <c r="BF2" s="3"/>
      <c r="BG2" s="17" t="s">
        <v>39</v>
      </c>
      <c r="BH2" s="3"/>
      <c r="BI2" s="17" t="s">
        <v>40</v>
      </c>
      <c r="BJ2" s="3"/>
      <c r="BL2" s="18" t="s">
        <v>41</v>
      </c>
      <c r="BM2" s="3"/>
      <c r="BN2" s="17" t="s">
        <v>42</v>
      </c>
      <c r="BO2" s="3"/>
      <c r="BP2" s="17" t="s">
        <v>43</v>
      </c>
      <c r="BQ2" s="3"/>
      <c r="BR2" s="17" t="s">
        <v>44</v>
      </c>
      <c r="BS2" s="3"/>
      <c r="BU2" s="17" t="s">
        <v>45</v>
      </c>
      <c r="BV2" s="3"/>
      <c r="BW2" s="17" t="s">
        <v>46</v>
      </c>
      <c r="BX2" s="3"/>
      <c r="BY2" s="17" t="s">
        <v>47</v>
      </c>
      <c r="BZ2" s="3"/>
      <c r="CA2" s="17" t="s">
        <v>48</v>
      </c>
      <c r="CB2" s="3"/>
      <c r="CD2" s="17" t="s">
        <v>49</v>
      </c>
      <c r="CE2" s="3"/>
      <c r="CF2" s="17" t="s">
        <v>50</v>
      </c>
      <c r="CG2" s="3"/>
      <c r="CH2" s="17" t="s">
        <v>51</v>
      </c>
      <c r="CI2" s="3"/>
      <c r="CJ2" s="17" t="s">
        <v>52</v>
      </c>
      <c r="CK2" s="3"/>
      <c r="CM2" s="17" t="s">
        <v>53</v>
      </c>
      <c r="CN2" s="3"/>
      <c r="CO2" s="17" t="s">
        <v>54</v>
      </c>
      <c r="CP2" s="3"/>
      <c r="CQ2" s="17" t="s">
        <v>55</v>
      </c>
      <c r="CR2" s="3"/>
      <c r="CS2" s="17" t="s">
        <v>56</v>
      </c>
      <c r="CT2" s="3"/>
      <c r="CV2" s="17" t="s">
        <v>57</v>
      </c>
      <c r="CW2" s="3"/>
      <c r="CX2" s="18" t="s">
        <v>58</v>
      </c>
      <c r="CY2" s="3"/>
      <c r="CZ2" s="17" t="s">
        <v>59</v>
      </c>
      <c r="DA2" s="3"/>
      <c r="DB2" s="17" t="s">
        <v>60</v>
      </c>
      <c r="DC2" s="3"/>
      <c r="DE2" s="19" t="s">
        <v>61</v>
      </c>
      <c r="DF2" s="3"/>
      <c r="DG2" s="16"/>
      <c r="DH2" s="16"/>
      <c r="DI2" s="16"/>
      <c r="DJ2" s="16"/>
    </row>
    <row r="3">
      <c r="A3" s="20" t="s">
        <v>62</v>
      </c>
      <c r="B3" s="21" t="s">
        <v>63</v>
      </c>
      <c r="C3" s="22" t="s">
        <v>62</v>
      </c>
      <c r="D3" s="21" t="s">
        <v>63</v>
      </c>
      <c r="E3" s="22" t="s">
        <v>62</v>
      </c>
      <c r="F3" s="21" t="s">
        <v>63</v>
      </c>
      <c r="G3" s="22" t="s">
        <v>62</v>
      </c>
      <c r="H3" s="21" t="s">
        <v>63</v>
      </c>
      <c r="J3" s="20" t="s">
        <v>62</v>
      </c>
      <c r="K3" s="21" t="s">
        <v>63</v>
      </c>
      <c r="L3" s="22" t="s">
        <v>62</v>
      </c>
      <c r="M3" s="21" t="s">
        <v>63</v>
      </c>
      <c r="N3" s="22" t="s">
        <v>62</v>
      </c>
      <c r="O3" s="21" t="s">
        <v>63</v>
      </c>
      <c r="P3" s="22" t="s">
        <v>62</v>
      </c>
      <c r="Q3" s="21" t="s">
        <v>63</v>
      </c>
      <c r="S3" s="20" t="s">
        <v>62</v>
      </c>
      <c r="T3" s="21" t="s">
        <v>63</v>
      </c>
      <c r="U3" s="22" t="s">
        <v>62</v>
      </c>
      <c r="V3" s="21" t="s">
        <v>63</v>
      </c>
      <c r="W3" s="22" t="s">
        <v>62</v>
      </c>
      <c r="X3" s="21" t="s">
        <v>63</v>
      </c>
      <c r="Y3" s="22" t="s">
        <v>62</v>
      </c>
      <c r="Z3" s="21" t="s">
        <v>63</v>
      </c>
      <c r="AB3" s="20" t="s">
        <v>62</v>
      </c>
      <c r="AC3" s="21" t="s">
        <v>63</v>
      </c>
      <c r="AD3" s="22" t="s">
        <v>62</v>
      </c>
      <c r="AE3" s="21" t="s">
        <v>63</v>
      </c>
      <c r="AF3" s="22" t="s">
        <v>62</v>
      </c>
      <c r="AG3" s="21" t="s">
        <v>63</v>
      </c>
      <c r="AH3" s="22" t="s">
        <v>62</v>
      </c>
      <c r="AI3" s="21" t="s">
        <v>63</v>
      </c>
      <c r="AK3" s="20" t="s">
        <v>62</v>
      </c>
      <c r="AL3" s="21" t="s">
        <v>63</v>
      </c>
      <c r="AM3" s="22" t="s">
        <v>62</v>
      </c>
      <c r="AN3" s="21" t="s">
        <v>63</v>
      </c>
      <c r="AO3" s="22" t="s">
        <v>62</v>
      </c>
      <c r="AP3" s="21" t="s">
        <v>63</v>
      </c>
      <c r="AQ3" s="22" t="s">
        <v>62</v>
      </c>
      <c r="AR3" s="21" t="s">
        <v>63</v>
      </c>
      <c r="AT3" s="20" t="s">
        <v>62</v>
      </c>
      <c r="AU3" s="21" t="s">
        <v>63</v>
      </c>
      <c r="AV3" s="22" t="s">
        <v>62</v>
      </c>
      <c r="AW3" s="21" t="s">
        <v>63</v>
      </c>
      <c r="AX3" s="22" t="s">
        <v>62</v>
      </c>
      <c r="AY3" s="21" t="s">
        <v>63</v>
      </c>
      <c r="AZ3" s="22" t="s">
        <v>62</v>
      </c>
      <c r="BA3" s="21" t="s">
        <v>63</v>
      </c>
      <c r="BC3" s="20" t="s">
        <v>62</v>
      </c>
      <c r="BD3" s="21" t="s">
        <v>63</v>
      </c>
      <c r="BE3" s="22" t="s">
        <v>62</v>
      </c>
      <c r="BF3" s="21" t="s">
        <v>63</v>
      </c>
      <c r="BG3" s="22" t="s">
        <v>62</v>
      </c>
      <c r="BH3" s="21" t="s">
        <v>63</v>
      </c>
      <c r="BI3" s="22" t="s">
        <v>62</v>
      </c>
      <c r="BJ3" s="21" t="s">
        <v>63</v>
      </c>
      <c r="BL3" s="20" t="s">
        <v>62</v>
      </c>
      <c r="BM3" s="21" t="s">
        <v>63</v>
      </c>
      <c r="BN3" s="22" t="s">
        <v>62</v>
      </c>
      <c r="BO3" s="21" t="s">
        <v>63</v>
      </c>
      <c r="BP3" s="22" t="s">
        <v>62</v>
      </c>
      <c r="BQ3" s="21" t="s">
        <v>63</v>
      </c>
      <c r="BR3" s="22" t="s">
        <v>62</v>
      </c>
      <c r="BS3" s="21" t="s">
        <v>63</v>
      </c>
      <c r="BU3" s="20" t="s">
        <v>62</v>
      </c>
      <c r="BV3" s="21" t="s">
        <v>63</v>
      </c>
      <c r="BW3" s="22" t="s">
        <v>62</v>
      </c>
      <c r="BX3" s="21" t="s">
        <v>63</v>
      </c>
      <c r="BY3" s="22" t="s">
        <v>62</v>
      </c>
      <c r="BZ3" s="21" t="s">
        <v>63</v>
      </c>
      <c r="CA3" s="22" t="s">
        <v>62</v>
      </c>
      <c r="CB3" s="21" t="s">
        <v>63</v>
      </c>
      <c r="CD3" s="20" t="s">
        <v>62</v>
      </c>
      <c r="CE3" s="21" t="s">
        <v>63</v>
      </c>
      <c r="CF3" s="22" t="s">
        <v>62</v>
      </c>
      <c r="CG3" s="21" t="s">
        <v>63</v>
      </c>
      <c r="CH3" s="22" t="s">
        <v>62</v>
      </c>
      <c r="CI3" s="21" t="s">
        <v>63</v>
      </c>
      <c r="CJ3" s="22" t="s">
        <v>62</v>
      </c>
      <c r="CK3" s="21" t="s">
        <v>63</v>
      </c>
      <c r="CM3" s="20" t="s">
        <v>62</v>
      </c>
      <c r="CN3" s="21" t="s">
        <v>63</v>
      </c>
      <c r="CO3" s="22" t="s">
        <v>62</v>
      </c>
      <c r="CP3" s="21" t="s">
        <v>63</v>
      </c>
      <c r="CQ3" s="22" t="s">
        <v>62</v>
      </c>
      <c r="CR3" s="21" t="s">
        <v>63</v>
      </c>
      <c r="CS3" s="22" t="s">
        <v>62</v>
      </c>
      <c r="CT3" s="21" t="s">
        <v>63</v>
      </c>
      <c r="CV3" s="20" t="s">
        <v>62</v>
      </c>
      <c r="CW3" s="21" t="s">
        <v>63</v>
      </c>
      <c r="CX3" s="22" t="s">
        <v>62</v>
      </c>
      <c r="CY3" s="21" t="s">
        <v>63</v>
      </c>
      <c r="CZ3" s="22" t="s">
        <v>62</v>
      </c>
      <c r="DA3" s="21" t="s">
        <v>63</v>
      </c>
      <c r="DB3" s="22" t="s">
        <v>62</v>
      </c>
      <c r="DC3" s="21" t="s">
        <v>63</v>
      </c>
      <c r="DE3" s="20" t="s">
        <v>62</v>
      </c>
      <c r="DF3" s="21" t="s">
        <v>63</v>
      </c>
      <c r="DG3" s="23"/>
      <c r="DH3" s="23"/>
      <c r="DI3" s="23"/>
      <c r="DJ3" s="23"/>
    </row>
    <row r="4">
      <c r="A4" s="24" t="s">
        <v>64</v>
      </c>
      <c r="B4" s="25">
        <v>3.0</v>
      </c>
      <c r="C4" s="24" t="s">
        <v>65</v>
      </c>
      <c r="D4" s="25">
        <v>3.0</v>
      </c>
      <c r="E4" s="24" t="s">
        <v>66</v>
      </c>
      <c r="F4" s="25">
        <v>5.0</v>
      </c>
      <c r="G4" s="24" t="s">
        <v>67</v>
      </c>
      <c r="H4" s="25">
        <v>3.0</v>
      </c>
      <c r="J4" s="24" t="s">
        <v>68</v>
      </c>
      <c r="K4" s="26">
        <v>4.0</v>
      </c>
      <c r="L4" s="24" t="s">
        <v>69</v>
      </c>
      <c r="M4" s="26">
        <v>3.0</v>
      </c>
      <c r="N4" s="24" t="s">
        <v>70</v>
      </c>
      <c r="O4" s="26">
        <v>2.0</v>
      </c>
      <c r="P4" s="24" t="s">
        <v>71</v>
      </c>
      <c r="Q4" s="26">
        <v>7.0</v>
      </c>
      <c r="S4" s="24" t="s">
        <v>72</v>
      </c>
      <c r="T4" s="26">
        <v>5.0</v>
      </c>
      <c r="U4" s="24" t="s">
        <v>73</v>
      </c>
      <c r="V4" s="26">
        <v>7.0</v>
      </c>
      <c r="W4" s="24" t="s">
        <v>74</v>
      </c>
      <c r="X4" s="26">
        <v>5.0</v>
      </c>
      <c r="Y4" s="24" t="s">
        <v>75</v>
      </c>
      <c r="Z4" s="26">
        <v>4.0</v>
      </c>
      <c r="AB4" s="24" t="s">
        <v>76</v>
      </c>
      <c r="AC4" s="26">
        <v>3.0</v>
      </c>
      <c r="AD4" s="24" t="s">
        <v>77</v>
      </c>
      <c r="AE4" s="26">
        <v>5.0</v>
      </c>
      <c r="AF4" s="24" t="s">
        <v>78</v>
      </c>
      <c r="AG4" s="26">
        <v>3.0</v>
      </c>
      <c r="AH4" s="24" t="s">
        <v>79</v>
      </c>
      <c r="AI4" s="26">
        <v>3.0</v>
      </c>
      <c r="AK4" s="24" t="s">
        <v>80</v>
      </c>
      <c r="AL4" s="26">
        <v>3.0</v>
      </c>
      <c r="AM4" s="24" t="s">
        <v>81</v>
      </c>
      <c r="AN4" s="26">
        <v>4.0</v>
      </c>
      <c r="AO4" s="24" t="s">
        <v>82</v>
      </c>
      <c r="AP4" s="26">
        <v>8.0</v>
      </c>
      <c r="AQ4" s="24" t="s">
        <v>83</v>
      </c>
      <c r="AR4" s="26">
        <v>8.0</v>
      </c>
      <c r="AT4" s="24" t="s">
        <v>84</v>
      </c>
      <c r="AU4" s="26">
        <v>8.0</v>
      </c>
      <c r="AV4" s="24" t="s">
        <v>85</v>
      </c>
      <c r="AW4" s="26">
        <v>2.0</v>
      </c>
      <c r="AX4" s="24" t="s">
        <v>86</v>
      </c>
      <c r="AY4" s="26">
        <v>5.0</v>
      </c>
      <c r="AZ4" s="24" t="s">
        <v>87</v>
      </c>
      <c r="BA4" s="26">
        <v>6.0</v>
      </c>
      <c r="BC4" s="24" t="s">
        <v>88</v>
      </c>
      <c r="BD4" s="26">
        <v>6.0</v>
      </c>
      <c r="BE4" s="24" t="s">
        <v>89</v>
      </c>
      <c r="BF4" s="26">
        <v>2.0</v>
      </c>
      <c r="BG4" s="24" t="s">
        <v>90</v>
      </c>
      <c r="BH4" s="26">
        <v>7.0</v>
      </c>
      <c r="BI4" s="24" t="s">
        <v>91</v>
      </c>
      <c r="BJ4" s="26">
        <v>2.0</v>
      </c>
      <c r="BL4" s="24" t="s">
        <v>92</v>
      </c>
      <c r="BM4" s="26">
        <v>10.0</v>
      </c>
      <c r="BN4" s="24" t="s">
        <v>93</v>
      </c>
      <c r="BO4" s="26">
        <v>9.0</v>
      </c>
      <c r="BP4" s="24" t="s">
        <v>94</v>
      </c>
      <c r="BQ4" s="26">
        <v>3.0</v>
      </c>
      <c r="BR4" s="24" t="s">
        <v>95</v>
      </c>
      <c r="BS4" s="26">
        <v>5.0</v>
      </c>
      <c r="BU4" s="24" t="s">
        <v>96</v>
      </c>
      <c r="BV4" s="26">
        <v>2.0</v>
      </c>
      <c r="BW4" s="24" t="s">
        <v>97</v>
      </c>
      <c r="BX4" s="26">
        <v>3.0</v>
      </c>
      <c r="BY4" s="24" t="s">
        <v>98</v>
      </c>
      <c r="BZ4" s="26">
        <v>5.0</v>
      </c>
      <c r="CA4" s="24" t="s">
        <v>99</v>
      </c>
      <c r="CB4" s="26">
        <v>5.0</v>
      </c>
      <c r="CD4" s="24" t="s">
        <v>100</v>
      </c>
      <c r="CE4" s="26">
        <v>4.0</v>
      </c>
      <c r="CF4" s="24" t="s">
        <v>101</v>
      </c>
      <c r="CG4" s="26">
        <v>3.0</v>
      </c>
      <c r="CH4" s="24" t="s">
        <v>102</v>
      </c>
      <c r="CI4" s="26">
        <v>5.0</v>
      </c>
      <c r="CJ4" s="24" t="s">
        <v>103</v>
      </c>
      <c r="CK4" s="26">
        <v>2.0</v>
      </c>
      <c r="CM4" s="24" t="s">
        <v>104</v>
      </c>
      <c r="CN4" s="26">
        <v>3.0</v>
      </c>
      <c r="CO4" s="24" t="s">
        <v>105</v>
      </c>
      <c r="CP4" s="26">
        <v>4.0</v>
      </c>
      <c r="CQ4" s="24" t="s">
        <v>106</v>
      </c>
      <c r="CR4" s="26">
        <v>7.0</v>
      </c>
      <c r="CS4" s="24" t="s">
        <v>107</v>
      </c>
      <c r="CT4" s="26">
        <v>5.0</v>
      </c>
      <c r="CV4" s="24" t="s">
        <v>108</v>
      </c>
      <c r="CW4" s="26">
        <v>5.0</v>
      </c>
      <c r="CX4" s="24" t="s">
        <v>109</v>
      </c>
      <c r="CY4" s="26">
        <v>3.0</v>
      </c>
      <c r="CZ4" s="24" t="s">
        <v>110</v>
      </c>
      <c r="DA4" s="26">
        <v>6.0</v>
      </c>
      <c r="DB4" s="24" t="s">
        <v>111</v>
      </c>
      <c r="DC4" s="26">
        <v>7.0</v>
      </c>
      <c r="DE4" s="27" t="s">
        <v>112</v>
      </c>
      <c r="DF4" s="27">
        <v>7.0</v>
      </c>
      <c r="DG4" s="28"/>
      <c r="DH4" s="28"/>
      <c r="DI4" s="28"/>
      <c r="DJ4" s="28"/>
    </row>
    <row r="5">
      <c r="A5" s="27" t="s">
        <v>113</v>
      </c>
      <c r="B5" s="25">
        <v>4.0</v>
      </c>
      <c r="C5" s="27" t="s">
        <v>114</v>
      </c>
      <c r="D5" s="25">
        <v>13.0</v>
      </c>
      <c r="E5" s="27" t="s">
        <v>115</v>
      </c>
      <c r="F5" s="25">
        <v>3.0</v>
      </c>
      <c r="G5" s="27" t="s">
        <v>116</v>
      </c>
      <c r="H5" s="25">
        <v>3.0</v>
      </c>
      <c r="J5" s="27" t="s">
        <v>117</v>
      </c>
      <c r="K5" s="25">
        <v>7.0</v>
      </c>
      <c r="L5" s="27" t="s">
        <v>118</v>
      </c>
      <c r="M5" s="25">
        <v>7.0</v>
      </c>
      <c r="N5" s="27" t="s">
        <v>119</v>
      </c>
      <c r="O5" s="25">
        <v>8.0</v>
      </c>
      <c r="P5" s="27" t="s">
        <v>120</v>
      </c>
      <c r="Q5" s="25">
        <v>6.0</v>
      </c>
      <c r="S5" s="27" t="s">
        <v>121</v>
      </c>
      <c r="T5" s="25">
        <v>4.0</v>
      </c>
      <c r="U5" s="29" t="s">
        <v>122</v>
      </c>
      <c r="V5" s="25">
        <v>3.0</v>
      </c>
      <c r="W5" s="27" t="s">
        <v>123</v>
      </c>
      <c r="X5" s="25">
        <v>2.0</v>
      </c>
      <c r="Y5" s="27" t="s">
        <v>124</v>
      </c>
      <c r="Z5" s="25">
        <v>8.0</v>
      </c>
      <c r="AB5" s="27" t="s">
        <v>125</v>
      </c>
      <c r="AC5" s="25">
        <v>7.0</v>
      </c>
      <c r="AD5" s="27" t="s">
        <v>126</v>
      </c>
      <c r="AE5" s="25">
        <v>8.0</v>
      </c>
      <c r="AF5" s="27" t="s">
        <v>127</v>
      </c>
      <c r="AG5" s="25">
        <v>5.0</v>
      </c>
      <c r="AH5" s="27" t="s">
        <v>128</v>
      </c>
      <c r="AI5" s="25">
        <v>4.0</v>
      </c>
      <c r="AK5" s="27" t="s">
        <v>129</v>
      </c>
      <c r="AL5" s="25">
        <v>5.0</v>
      </c>
      <c r="AM5" s="27" t="s">
        <v>130</v>
      </c>
      <c r="AN5" s="25">
        <v>7.0</v>
      </c>
      <c r="AO5" s="27" t="s">
        <v>131</v>
      </c>
      <c r="AP5" s="25">
        <v>3.0</v>
      </c>
      <c r="AQ5" s="27" t="s">
        <v>132</v>
      </c>
      <c r="AR5" s="25">
        <v>5.0</v>
      </c>
      <c r="AT5" s="27" t="s">
        <v>133</v>
      </c>
      <c r="AU5" s="25">
        <v>5.0</v>
      </c>
      <c r="AV5" s="27" t="s">
        <v>134</v>
      </c>
      <c r="AW5" s="25">
        <v>4.0</v>
      </c>
      <c r="AX5" s="27" t="s">
        <v>135</v>
      </c>
      <c r="AY5" s="25">
        <v>4.0</v>
      </c>
      <c r="AZ5" s="27" t="s">
        <v>136</v>
      </c>
      <c r="BA5" s="25">
        <v>7.0</v>
      </c>
      <c r="BC5" s="27" t="s">
        <v>137</v>
      </c>
      <c r="BD5" s="25">
        <v>5.0</v>
      </c>
      <c r="BE5" s="27" t="s">
        <v>138</v>
      </c>
      <c r="BF5" s="25">
        <v>6.0</v>
      </c>
      <c r="BG5" s="27" t="s">
        <v>139</v>
      </c>
      <c r="BH5" s="25">
        <v>4.0</v>
      </c>
      <c r="BI5" s="27" t="s">
        <v>140</v>
      </c>
      <c r="BJ5" s="25">
        <v>1.0</v>
      </c>
      <c r="BL5" s="27" t="s">
        <v>141</v>
      </c>
      <c r="BM5" s="25">
        <v>4.0</v>
      </c>
      <c r="BN5" s="27" t="s">
        <v>142</v>
      </c>
      <c r="BO5" s="25">
        <v>3.0</v>
      </c>
      <c r="BP5" s="27" t="s">
        <v>143</v>
      </c>
      <c r="BQ5" s="25">
        <v>11.0</v>
      </c>
      <c r="BR5" s="27" t="s">
        <v>144</v>
      </c>
      <c r="BS5" s="25">
        <v>4.0</v>
      </c>
      <c r="BU5" s="27" t="s">
        <v>145</v>
      </c>
      <c r="BV5" s="25">
        <v>3.0</v>
      </c>
      <c r="BW5" s="27" t="s">
        <v>146</v>
      </c>
      <c r="BX5" s="25">
        <v>9.0</v>
      </c>
      <c r="BY5" s="27" t="s">
        <v>147</v>
      </c>
      <c r="BZ5" s="25">
        <v>3.0</v>
      </c>
      <c r="CA5" s="27" t="s">
        <v>148</v>
      </c>
      <c r="CB5" s="25">
        <v>3.0</v>
      </c>
      <c r="CD5" s="27" t="s">
        <v>149</v>
      </c>
      <c r="CE5" s="25">
        <v>7.0</v>
      </c>
      <c r="CF5" s="27" t="s">
        <v>150</v>
      </c>
      <c r="CG5" s="25">
        <v>5.0</v>
      </c>
      <c r="CH5" s="27" t="s">
        <v>151</v>
      </c>
      <c r="CI5" s="25">
        <v>5.0</v>
      </c>
      <c r="CJ5" s="27" t="s">
        <v>152</v>
      </c>
      <c r="CK5" s="25">
        <v>2.0</v>
      </c>
      <c r="CM5" s="27" t="s">
        <v>153</v>
      </c>
      <c r="CN5" s="25">
        <v>3.0</v>
      </c>
      <c r="CO5" s="27" t="s">
        <v>154</v>
      </c>
      <c r="CP5" s="25">
        <v>3.0</v>
      </c>
      <c r="CQ5" s="27" t="s">
        <v>155</v>
      </c>
      <c r="CR5" s="25">
        <v>4.0</v>
      </c>
      <c r="CS5" s="27" t="s">
        <v>156</v>
      </c>
      <c r="CT5" s="25">
        <v>5.0</v>
      </c>
      <c r="CV5" s="27" t="s">
        <v>157</v>
      </c>
      <c r="CW5" s="25">
        <v>8.0</v>
      </c>
      <c r="CX5" s="27" t="s">
        <v>158</v>
      </c>
      <c r="CY5" s="25">
        <v>4.0</v>
      </c>
      <c r="CZ5" s="27" t="s">
        <v>159</v>
      </c>
      <c r="DA5" s="25">
        <v>8.0</v>
      </c>
      <c r="DB5" s="27" t="s">
        <v>160</v>
      </c>
      <c r="DC5" s="25">
        <v>6.0</v>
      </c>
      <c r="DE5" s="27" t="s">
        <v>161</v>
      </c>
      <c r="DF5" s="27">
        <v>7.0</v>
      </c>
      <c r="DG5" s="28"/>
      <c r="DH5" s="28"/>
      <c r="DI5" s="28"/>
      <c r="DJ5" s="28"/>
    </row>
    <row r="6">
      <c r="A6" s="27" t="s">
        <v>162</v>
      </c>
      <c r="B6" s="25">
        <v>3.0</v>
      </c>
      <c r="C6" s="27" t="s">
        <v>163</v>
      </c>
      <c r="D6" s="25">
        <v>9.0</v>
      </c>
      <c r="E6" s="27" t="s">
        <v>164</v>
      </c>
      <c r="F6" s="25">
        <v>3.0</v>
      </c>
      <c r="G6" s="27" t="s">
        <v>165</v>
      </c>
      <c r="H6" s="25">
        <v>3.0</v>
      </c>
      <c r="J6" s="27" t="s">
        <v>166</v>
      </c>
      <c r="K6" s="25">
        <v>5.0</v>
      </c>
      <c r="L6" s="27" t="s">
        <v>167</v>
      </c>
      <c r="M6" s="25">
        <v>3.0</v>
      </c>
      <c r="N6" s="27" t="s">
        <v>168</v>
      </c>
      <c r="O6" s="25">
        <v>7.0</v>
      </c>
      <c r="P6" s="27" t="s">
        <v>169</v>
      </c>
      <c r="Q6" s="25">
        <v>10.0</v>
      </c>
      <c r="S6" s="27" t="s">
        <v>170</v>
      </c>
      <c r="T6" s="25">
        <v>2.0</v>
      </c>
      <c r="U6" s="29" t="s">
        <v>171</v>
      </c>
      <c r="V6" s="25">
        <v>5.0</v>
      </c>
      <c r="W6" s="27" t="s">
        <v>172</v>
      </c>
      <c r="X6" s="25">
        <v>0.0</v>
      </c>
      <c r="Y6" s="27" t="s">
        <v>173</v>
      </c>
      <c r="Z6" s="25">
        <v>12.0</v>
      </c>
      <c r="AB6" s="27" t="s">
        <v>174</v>
      </c>
      <c r="AC6" s="25">
        <v>3.0</v>
      </c>
      <c r="AD6" s="27" t="s">
        <v>175</v>
      </c>
      <c r="AE6" s="25">
        <v>3.0</v>
      </c>
      <c r="AF6" s="27" t="s">
        <v>176</v>
      </c>
      <c r="AG6" s="25">
        <v>7.0</v>
      </c>
      <c r="AH6" s="27" t="s">
        <v>177</v>
      </c>
      <c r="AI6" s="25">
        <v>4.0</v>
      </c>
      <c r="AK6" s="27" t="s">
        <v>178</v>
      </c>
      <c r="AL6" s="25">
        <v>4.0</v>
      </c>
      <c r="AM6" s="27" t="s">
        <v>179</v>
      </c>
      <c r="AN6" s="25">
        <v>2.0</v>
      </c>
      <c r="AO6" s="27" t="s">
        <v>180</v>
      </c>
      <c r="AP6" s="25">
        <v>4.0</v>
      </c>
      <c r="AQ6" s="27" t="s">
        <v>181</v>
      </c>
      <c r="AR6" s="25">
        <v>5.0</v>
      </c>
      <c r="AT6" s="27" t="s">
        <v>182</v>
      </c>
      <c r="AU6" s="25">
        <v>7.0</v>
      </c>
      <c r="AV6" s="27" t="s">
        <v>183</v>
      </c>
      <c r="AW6" s="25">
        <v>6.0</v>
      </c>
      <c r="AX6" s="27" t="s">
        <v>184</v>
      </c>
      <c r="AY6" s="25">
        <v>6.0</v>
      </c>
      <c r="AZ6" s="27" t="s">
        <v>185</v>
      </c>
      <c r="BA6" s="25">
        <v>5.0</v>
      </c>
      <c r="BC6" s="27" t="s">
        <v>186</v>
      </c>
      <c r="BD6" s="25">
        <v>5.0</v>
      </c>
      <c r="BE6" s="27" t="s">
        <v>187</v>
      </c>
      <c r="BF6" s="25">
        <v>7.0</v>
      </c>
      <c r="BG6" s="27" t="s">
        <v>188</v>
      </c>
      <c r="BH6" s="25">
        <v>5.0</v>
      </c>
      <c r="BI6" s="27" t="s">
        <v>189</v>
      </c>
      <c r="BJ6" s="25">
        <v>8.0</v>
      </c>
      <c r="BL6" s="27" t="s">
        <v>190</v>
      </c>
      <c r="BM6" s="25">
        <v>4.0</v>
      </c>
      <c r="BN6" s="27" t="s">
        <v>191</v>
      </c>
      <c r="BO6" s="25">
        <v>4.0</v>
      </c>
      <c r="BP6" s="27" t="s">
        <v>192</v>
      </c>
      <c r="BQ6" s="25">
        <v>6.0</v>
      </c>
      <c r="BR6" s="27" t="s">
        <v>193</v>
      </c>
      <c r="BS6" s="25">
        <v>4.0</v>
      </c>
      <c r="BU6" s="27" t="s">
        <v>194</v>
      </c>
      <c r="BV6" s="25">
        <v>6.0</v>
      </c>
      <c r="BW6" s="27" t="s">
        <v>195</v>
      </c>
      <c r="BX6" s="25">
        <v>4.0</v>
      </c>
      <c r="BY6" s="27" t="s">
        <v>196</v>
      </c>
      <c r="BZ6" s="25">
        <v>6.0</v>
      </c>
      <c r="CA6" s="27" t="s">
        <v>197</v>
      </c>
      <c r="CB6" s="25">
        <v>3.0</v>
      </c>
      <c r="CD6" s="27" t="s">
        <v>198</v>
      </c>
      <c r="CE6" s="25">
        <v>6.0</v>
      </c>
      <c r="CF6" s="27" t="s">
        <v>199</v>
      </c>
      <c r="CG6" s="25">
        <v>4.0</v>
      </c>
      <c r="CH6" s="27" t="s">
        <v>200</v>
      </c>
      <c r="CI6" s="25">
        <v>5.0</v>
      </c>
      <c r="CJ6" s="27" t="s">
        <v>201</v>
      </c>
      <c r="CK6" s="25">
        <v>4.0</v>
      </c>
      <c r="CM6" s="27" t="s">
        <v>202</v>
      </c>
      <c r="CN6" s="25">
        <v>5.0</v>
      </c>
      <c r="CO6" s="27" t="s">
        <v>203</v>
      </c>
      <c r="CP6" s="25">
        <v>3.0</v>
      </c>
      <c r="CQ6" s="27" t="s">
        <v>204</v>
      </c>
      <c r="CR6" s="25">
        <v>6.0</v>
      </c>
      <c r="CS6" s="27" t="s">
        <v>205</v>
      </c>
      <c r="CT6" s="25">
        <v>8.0</v>
      </c>
      <c r="CV6" s="27" t="s">
        <v>206</v>
      </c>
      <c r="CW6" s="25">
        <v>2.0</v>
      </c>
      <c r="CX6" s="27" t="s">
        <v>207</v>
      </c>
      <c r="CY6" s="25">
        <v>3.0</v>
      </c>
      <c r="CZ6" s="27" t="s">
        <v>208</v>
      </c>
      <c r="DA6" s="25">
        <v>5.0</v>
      </c>
      <c r="DB6" s="27" t="s">
        <v>209</v>
      </c>
      <c r="DC6" s="25">
        <v>5.0</v>
      </c>
      <c r="DE6" s="27" t="s">
        <v>210</v>
      </c>
      <c r="DF6" s="27">
        <v>9.0</v>
      </c>
      <c r="DG6" s="28"/>
      <c r="DH6" s="28"/>
      <c r="DI6" s="28"/>
      <c r="DJ6" s="28"/>
    </row>
    <row r="7">
      <c r="A7" s="27" t="s">
        <v>211</v>
      </c>
      <c r="B7" s="25">
        <v>7.0</v>
      </c>
      <c r="C7" s="27" t="s">
        <v>212</v>
      </c>
      <c r="D7" s="25">
        <v>7.0</v>
      </c>
      <c r="E7" s="27" t="s">
        <v>213</v>
      </c>
      <c r="F7" s="25">
        <v>4.0</v>
      </c>
      <c r="G7" s="27" t="s">
        <v>214</v>
      </c>
      <c r="H7" s="30">
        <v>3.0</v>
      </c>
      <c r="J7" s="27" t="s">
        <v>215</v>
      </c>
      <c r="K7" s="25">
        <v>3.0</v>
      </c>
      <c r="L7" s="27" t="s">
        <v>216</v>
      </c>
      <c r="M7" s="25">
        <v>4.0</v>
      </c>
      <c r="N7" s="27" t="s">
        <v>217</v>
      </c>
      <c r="O7" s="25">
        <v>6.0</v>
      </c>
      <c r="P7" s="27" t="s">
        <v>218</v>
      </c>
      <c r="Q7" s="25">
        <v>6.0</v>
      </c>
      <c r="S7" s="27" t="s">
        <v>219</v>
      </c>
      <c r="T7" s="25">
        <v>5.0</v>
      </c>
      <c r="U7" s="29" t="s">
        <v>220</v>
      </c>
      <c r="V7" s="25">
        <v>6.0</v>
      </c>
      <c r="W7" s="27" t="s">
        <v>221</v>
      </c>
      <c r="X7" s="25">
        <v>7.0</v>
      </c>
      <c r="Y7" s="27" t="s">
        <v>222</v>
      </c>
      <c r="Z7" s="25">
        <v>3.0</v>
      </c>
      <c r="AB7" s="27" t="s">
        <v>223</v>
      </c>
      <c r="AC7" s="25">
        <v>7.0</v>
      </c>
      <c r="AD7" s="27" t="s">
        <v>224</v>
      </c>
      <c r="AE7" s="25">
        <v>5.0</v>
      </c>
      <c r="AF7" s="27" t="s">
        <v>225</v>
      </c>
      <c r="AG7" s="25">
        <v>6.0</v>
      </c>
      <c r="AH7" s="27" t="s">
        <v>226</v>
      </c>
      <c r="AI7" s="25">
        <v>3.0</v>
      </c>
      <c r="AK7" s="27" t="s">
        <v>227</v>
      </c>
      <c r="AL7" s="25">
        <v>8.0</v>
      </c>
      <c r="AM7" s="27" t="s">
        <v>228</v>
      </c>
      <c r="AN7" s="25">
        <v>5.0</v>
      </c>
      <c r="AO7" s="27" t="s">
        <v>229</v>
      </c>
      <c r="AP7" s="25">
        <v>6.0</v>
      </c>
      <c r="AQ7" s="27" t="s">
        <v>230</v>
      </c>
      <c r="AR7" s="25">
        <v>4.0</v>
      </c>
      <c r="AT7" s="27" t="s">
        <v>231</v>
      </c>
      <c r="AU7" s="25">
        <v>5.0</v>
      </c>
      <c r="AV7" s="27" t="s">
        <v>232</v>
      </c>
      <c r="AW7" s="25">
        <v>6.0</v>
      </c>
      <c r="AX7" s="27" t="s">
        <v>233</v>
      </c>
      <c r="AY7" s="25">
        <v>5.0</v>
      </c>
      <c r="AZ7" s="27" t="s">
        <v>234</v>
      </c>
      <c r="BA7" s="25">
        <v>3.0</v>
      </c>
      <c r="BC7" s="27" t="s">
        <v>235</v>
      </c>
      <c r="BD7" s="25">
        <v>2.0</v>
      </c>
      <c r="BE7" s="27" t="s">
        <v>236</v>
      </c>
      <c r="BF7" s="25">
        <v>6.0</v>
      </c>
      <c r="BG7" s="27" t="s">
        <v>237</v>
      </c>
      <c r="BH7" s="25">
        <v>2.0</v>
      </c>
      <c r="BI7" s="27" t="s">
        <v>238</v>
      </c>
      <c r="BJ7" s="25">
        <v>8.0</v>
      </c>
      <c r="BL7" s="27" t="s">
        <v>239</v>
      </c>
      <c r="BM7" s="25">
        <v>3.0</v>
      </c>
      <c r="BN7" s="27" t="s">
        <v>240</v>
      </c>
      <c r="BO7" s="25">
        <v>5.0</v>
      </c>
      <c r="BP7" s="27" t="s">
        <v>241</v>
      </c>
      <c r="BQ7" s="25">
        <v>3.0</v>
      </c>
      <c r="BR7" s="27" t="s">
        <v>242</v>
      </c>
      <c r="BS7" s="25">
        <v>5.0</v>
      </c>
      <c r="BU7" s="27" t="s">
        <v>243</v>
      </c>
      <c r="BV7" s="25">
        <v>6.0</v>
      </c>
      <c r="BW7" s="27" t="s">
        <v>244</v>
      </c>
      <c r="BX7" s="25">
        <v>7.0</v>
      </c>
      <c r="BY7" s="27" t="s">
        <v>245</v>
      </c>
      <c r="BZ7" s="25">
        <v>6.0</v>
      </c>
      <c r="CA7" s="27" t="s">
        <v>246</v>
      </c>
      <c r="CB7" s="25">
        <v>1.0</v>
      </c>
      <c r="CD7" s="27" t="s">
        <v>247</v>
      </c>
      <c r="CE7" s="25">
        <v>6.0</v>
      </c>
      <c r="CF7" s="27" t="s">
        <v>248</v>
      </c>
      <c r="CG7" s="25">
        <v>3.0</v>
      </c>
      <c r="CH7" s="27" t="s">
        <v>249</v>
      </c>
      <c r="CI7" s="25">
        <v>6.0</v>
      </c>
      <c r="CJ7" s="27" t="s">
        <v>250</v>
      </c>
      <c r="CK7" s="25">
        <v>3.0</v>
      </c>
      <c r="CM7" s="27" t="s">
        <v>251</v>
      </c>
      <c r="CN7" s="25">
        <v>3.0</v>
      </c>
      <c r="CO7" s="27" t="s">
        <v>252</v>
      </c>
      <c r="CP7" s="25">
        <v>3.0</v>
      </c>
      <c r="CQ7" s="27" t="s">
        <v>253</v>
      </c>
      <c r="CR7" s="25">
        <v>5.0</v>
      </c>
      <c r="CS7" s="27" t="s">
        <v>254</v>
      </c>
      <c r="CT7" s="25">
        <v>6.0</v>
      </c>
      <c r="CV7" s="27" t="s">
        <v>255</v>
      </c>
      <c r="CW7" s="25">
        <v>2.0</v>
      </c>
      <c r="CX7" s="27" t="s">
        <v>256</v>
      </c>
      <c r="CY7" s="25">
        <v>3.0</v>
      </c>
      <c r="CZ7" s="27" t="s">
        <v>257</v>
      </c>
      <c r="DA7" s="25">
        <v>6.0</v>
      </c>
      <c r="DB7" s="27" t="s">
        <v>258</v>
      </c>
      <c r="DC7" s="25">
        <v>3.0</v>
      </c>
      <c r="DE7" s="27" t="s">
        <v>259</v>
      </c>
      <c r="DF7" s="27">
        <v>8.0</v>
      </c>
      <c r="DG7" s="28"/>
      <c r="DH7" s="28"/>
      <c r="DI7" s="28"/>
      <c r="DJ7" s="28"/>
    </row>
    <row r="8">
      <c r="A8" s="27" t="s">
        <v>260</v>
      </c>
      <c r="B8" s="25">
        <v>2.0</v>
      </c>
      <c r="C8" s="27" t="s">
        <v>261</v>
      </c>
      <c r="D8" s="25">
        <v>12.0</v>
      </c>
      <c r="E8" s="27" t="s">
        <v>262</v>
      </c>
      <c r="F8" s="25">
        <v>2.0</v>
      </c>
      <c r="G8" s="27" t="s">
        <v>263</v>
      </c>
      <c r="H8" s="25">
        <v>1.0</v>
      </c>
      <c r="J8" s="27" t="s">
        <v>264</v>
      </c>
      <c r="K8" s="25">
        <v>2.0</v>
      </c>
      <c r="L8" s="27" t="s">
        <v>265</v>
      </c>
      <c r="M8" s="25">
        <v>5.0</v>
      </c>
      <c r="N8" s="27" t="s">
        <v>266</v>
      </c>
      <c r="O8" s="25">
        <v>2.0</v>
      </c>
      <c r="P8" s="27" t="s">
        <v>267</v>
      </c>
      <c r="Q8" s="25">
        <v>5.0</v>
      </c>
      <c r="S8" s="27" t="s">
        <v>268</v>
      </c>
      <c r="T8" s="25">
        <v>2.0</v>
      </c>
      <c r="U8" s="29" t="s">
        <v>269</v>
      </c>
      <c r="V8" s="25">
        <v>6.0</v>
      </c>
      <c r="W8" s="27" t="s">
        <v>270</v>
      </c>
      <c r="X8" s="25">
        <v>4.0</v>
      </c>
      <c r="Y8" s="27" t="s">
        <v>271</v>
      </c>
      <c r="Z8" s="25">
        <v>9.0</v>
      </c>
      <c r="AB8" s="27" t="s">
        <v>272</v>
      </c>
      <c r="AC8" s="25">
        <v>6.0</v>
      </c>
      <c r="AD8" s="27" t="s">
        <v>273</v>
      </c>
      <c r="AE8" s="25">
        <v>1.0</v>
      </c>
      <c r="AF8" s="27" t="s">
        <v>274</v>
      </c>
      <c r="AG8" s="25">
        <v>3.0</v>
      </c>
      <c r="AH8" s="27" t="s">
        <v>275</v>
      </c>
      <c r="AI8" s="25">
        <v>2.0</v>
      </c>
      <c r="AK8" s="27" t="s">
        <v>276</v>
      </c>
      <c r="AL8" s="25">
        <v>6.0</v>
      </c>
      <c r="AM8" s="27" t="s">
        <v>277</v>
      </c>
      <c r="AN8" s="25">
        <v>5.0</v>
      </c>
      <c r="AO8" s="27" t="s">
        <v>278</v>
      </c>
      <c r="AP8" s="25">
        <v>8.0</v>
      </c>
      <c r="AQ8" s="27" t="s">
        <v>279</v>
      </c>
      <c r="AR8" s="25">
        <v>4.0</v>
      </c>
      <c r="AT8" s="27" t="s">
        <v>280</v>
      </c>
      <c r="AU8" s="25">
        <v>8.0</v>
      </c>
      <c r="AV8" s="27" t="s">
        <v>281</v>
      </c>
      <c r="AW8" s="25">
        <v>4.0</v>
      </c>
      <c r="AX8" s="27" t="s">
        <v>282</v>
      </c>
      <c r="AY8" s="25">
        <v>5.0</v>
      </c>
      <c r="AZ8" s="27" t="s">
        <v>283</v>
      </c>
      <c r="BA8" s="25">
        <v>4.0</v>
      </c>
      <c r="BC8" s="27" t="s">
        <v>284</v>
      </c>
      <c r="BD8" s="25">
        <v>4.0</v>
      </c>
      <c r="BE8" s="27" t="s">
        <v>285</v>
      </c>
      <c r="BF8" s="25">
        <v>3.0</v>
      </c>
      <c r="BG8" s="27" t="s">
        <v>286</v>
      </c>
      <c r="BH8" s="25">
        <v>5.0</v>
      </c>
      <c r="BI8" s="27" t="s">
        <v>287</v>
      </c>
      <c r="BJ8" s="25">
        <v>6.0</v>
      </c>
      <c r="BL8" s="27" t="s">
        <v>288</v>
      </c>
      <c r="BM8" s="25">
        <v>5.0</v>
      </c>
      <c r="BN8" s="27" t="s">
        <v>289</v>
      </c>
      <c r="BO8" s="25">
        <v>3.0</v>
      </c>
      <c r="BP8" s="27" t="s">
        <v>290</v>
      </c>
      <c r="BQ8" s="25">
        <v>4.0</v>
      </c>
      <c r="BR8" s="27" t="s">
        <v>291</v>
      </c>
      <c r="BS8" s="25">
        <v>3.0</v>
      </c>
      <c r="BU8" s="27" t="s">
        <v>292</v>
      </c>
      <c r="BV8" s="25">
        <v>5.0</v>
      </c>
      <c r="BW8" s="27" t="s">
        <v>293</v>
      </c>
      <c r="BX8" s="25">
        <v>5.0</v>
      </c>
      <c r="BY8" s="27" t="s">
        <v>294</v>
      </c>
      <c r="BZ8" s="25">
        <v>5.0</v>
      </c>
      <c r="CA8" s="27" t="s">
        <v>295</v>
      </c>
      <c r="CB8" s="25">
        <v>2.0</v>
      </c>
      <c r="CD8" s="27" t="s">
        <v>296</v>
      </c>
      <c r="CE8" s="25">
        <v>11.0</v>
      </c>
      <c r="CF8" s="27" t="s">
        <v>297</v>
      </c>
      <c r="CG8" s="25">
        <v>4.0</v>
      </c>
      <c r="CH8" s="27" t="s">
        <v>298</v>
      </c>
      <c r="CI8" s="25">
        <v>5.0</v>
      </c>
      <c r="CJ8" s="27" t="s">
        <v>299</v>
      </c>
      <c r="CK8" s="25">
        <v>3.0</v>
      </c>
      <c r="CM8" s="27" t="s">
        <v>300</v>
      </c>
      <c r="CN8" s="25">
        <v>5.0</v>
      </c>
      <c r="CO8" s="27" t="s">
        <v>301</v>
      </c>
      <c r="CP8" s="25">
        <v>1.0</v>
      </c>
      <c r="CQ8" s="27" t="s">
        <v>302</v>
      </c>
      <c r="CR8" s="25">
        <v>4.0</v>
      </c>
      <c r="CS8" s="27" t="s">
        <v>303</v>
      </c>
      <c r="CT8" s="25">
        <v>7.0</v>
      </c>
      <c r="CV8" s="27" t="s">
        <v>304</v>
      </c>
      <c r="CW8" s="25">
        <v>4.0</v>
      </c>
      <c r="CX8" s="27" t="s">
        <v>305</v>
      </c>
      <c r="CY8" s="25">
        <v>3.0</v>
      </c>
      <c r="CZ8" s="27" t="s">
        <v>306</v>
      </c>
      <c r="DA8" s="25">
        <v>4.0</v>
      </c>
      <c r="DB8" s="27" t="s">
        <v>307</v>
      </c>
      <c r="DC8" s="25">
        <v>6.0</v>
      </c>
      <c r="DE8" s="27" t="s">
        <v>308</v>
      </c>
      <c r="DF8" s="27">
        <v>4.0</v>
      </c>
      <c r="DG8" s="28"/>
      <c r="DH8" s="28"/>
      <c r="DI8" s="28"/>
      <c r="DJ8" s="28"/>
    </row>
    <row r="9">
      <c r="A9" s="27" t="s">
        <v>309</v>
      </c>
      <c r="B9" s="25">
        <v>5.0</v>
      </c>
      <c r="C9" s="27" t="s">
        <v>310</v>
      </c>
      <c r="D9" s="25">
        <v>10.0</v>
      </c>
      <c r="E9" s="27" t="s">
        <v>311</v>
      </c>
      <c r="F9" s="25">
        <v>3.0</v>
      </c>
      <c r="G9" s="27" t="s">
        <v>312</v>
      </c>
      <c r="H9" s="25">
        <v>6.0</v>
      </c>
      <c r="J9" s="27" t="s">
        <v>313</v>
      </c>
      <c r="K9" s="25">
        <v>8.0</v>
      </c>
      <c r="L9" s="27" t="s">
        <v>314</v>
      </c>
      <c r="M9" s="25">
        <v>6.0</v>
      </c>
      <c r="N9" s="27" t="s">
        <v>315</v>
      </c>
      <c r="O9" s="25">
        <v>8.0</v>
      </c>
      <c r="P9" s="27" t="s">
        <v>316</v>
      </c>
      <c r="Q9" s="25">
        <v>4.0</v>
      </c>
      <c r="S9" s="27" t="s">
        <v>317</v>
      </c>
      <c r="T9" s="25">
        <v>5.0</v>
      </c>
      <c r="U9" s="29" t="s">
        <v>318</v>
      </c>
      <c r="V9" s="25">
        <v>2.0</v>
      </c>
      <c r="W9" s="27" t="s">
        <v>319</v>
      </c>
      <c r="X9" s="25">
        <v>4.0</v>
      </c>
      <c r="Y9" s="27" t="s">
        <v>320</v>
      </c>
      <c r="Z9" s="25">
        <v>8.0</v>
      </c>
      <c r="AB9" s="27" t="s">
        <v>321</v>
      </c>
      <c r="AC9" s="25">
        <v>3.0</v>
      </c>
      <c r="AD9" s="27" t="s">
        <v>322</v>
      </c>
      <c r="AE9" s="25">
        <v>5.0</v>
      </c>
      <c r="AF9" s="27" t="s">
        <v>323</v>
      </c>
      <c r="AG9" s="25">
        <v>3.0</v>
      </c>
      <c r="AH9" s="27" t="s">
        <v>324</v>
      </c>
      <c r="AI9" s="25">
        <v>4.0</v>
      </c>
      <c r="AK9" s="27" t="s">
        <v>325</v>
      </c>
      <c r="AL9" s="25">
        <v>4.0</v>
      </c>
      <c r="AM9" s="27" t="s">
        <v>326</v>
      </c>
      <c r="AN9" s="25">
        <v>7.0</v>
      </c>
      <c r="AO9" s="27" t="s">
        <v>327</v>
      </c>
      <c r="AP9" s="25">
        <v>3.0</v>
      </c>
      <c r="AQ9" s="27" t="s">
        <v>328</v>
      </c>
      <c r="AR9" s="25">
        <v>5.0</v>
      </c>
      <c r="AT9" s="27" t="s">
        <v>329</v>
      </c>
      <c r="AU9" s="25">
        <v>5.0</v>
      </c>
      <c r="AV9" s="27" t="s">
        <v>330</v>
      </c>
      <c r="AW9" s="25">
        <v>7.0</v>
      </c>
      <c r="AX9" s="27" t="s">
        <v>331</v>
      </c>
      <c r="AY9" s="25">
        <v>5.0</v>
      </c>
      <c r="AZ9" s="27" t="s">
        <v>332</v>
      </c>
      <c r="BA9" s="25">
        <v>4.0</v>
      </c>
      <c r="BC9" s="27" t="s">
        <v>333</v>
      </c>
      <c r="BD9" s="25">
        <v>5.0</v>
      </c>
      <c r="BE9" s="27" t="s">
        <v>334</v>
      </c>
      <c r="BF9" s="25">
        <v>5.0</v>
      </c>
      <c r="BG9" s="27" t="s">
        <v>335</v>
      </c>
      <c r="BH9" s="25">
        <v>3.0</v>
      </c>
      <c r="BI9" s="27" t="s">
        <v>336</v>
      </c>
      <c r="BJ9" s="25">
        <v>2.0</v>
      </c>
      <c r="BL9" s="27" t="s">
        <v>337</v>
      </c>
      <c r="BM9" s="25">
        <v>4.0</v>
      </c>
      <c r="BN9" s="27" t="s">
        <v>338</v>
      </c>
      <c r="BO9" s="25">
        <v>2.0</v>
      </c>
      <c r="BP9" s="27" t="s">
        <v>339</v>
      </c>
      <c r="BQ9" s="25">
        <v>8.0</v>
      </c>
      <c r="BR9" s="27" t="s">
        <v>340</v>
      </c>
      <c r="BS9" s="25">
        <v>5.0</v>
      </c>
      <c r="BU9" s="27" t="s">
        <v>341</v>
      </c>
      <c r="BV9" s="25">
        <v>5.0</v>
      </c>
      <c r="BW9" s="27" t="s">
        <v>342</v>
      </c>
      <c r="BX9" s="25">
        <v>13.0</v>
      </c>
      <c r="BY9" s="27" t="s">
        <v>343</v>
      </c>
      <c r="BZ9" s="25">
        <v>6.0</v>
      </c>
      <c r="CA9" s="27" t="s">
        <v>344</v>
      </c>
      <c r="CB9" s="25">
        <v>3.0</v>
      </c>
      <c r="CD9" s="27" t="s">
        <v>345</v>
      </c>
      <c r="CE9" s="25">
        <v>4.0</v>
      </c>
      <c r="CF9" s="27" t="s">
        <v>346</v>
      </c>
      <c r="CG9" s="25">
        <v>9.0</v>
      </c>
      <c r="CH9" s="27" t="s">
        <v>347</v>
      </c>
      <c r="CI9" s="25">
        <v>4.0</v>
      </c>
      <c r="CJ9" s="27" t="s">
        <v>348</v>
      </c>
      <c r="CK9" s="25">
        <v>6.0</v>
      </c>
      <c r="CM9" s="27" t="s">
        <v>349</v>
      </c>
      <c r="CN9" s="25">
        <v>8.0</v>
      </c>
      <c r="CO9" s="27" t="s">
        <v>350</v>
      </c>
      <c r="CP9" s="25">
        <v>4.0</v>
      </c>
      <c r="CQ9" s="27" t="s">
        <v>351</v>
      </c>
      <c r="CR9" s="25">
        <v>5.0</v>
      </c>
      <c r="CS9" s="27" t="s">
        <v>352</v>
      </c>
      <c r="CT9" s="25">
        <v>5.0</v>
      </c>
      <c r="CV9" s="27" t="s">
        <v>353</v>
      </c>
      <c r="CW9" s="25">
        <v>7.0</v>
      </c>
      <c r="CX9" s="27" t="s">
        <v>354</v>
      </c>
      <c r="CY9" s="25">
        <v>5.0</v>
      </c>
      <c r="CZ9" s="27" t="s">
        <v>355</v>
      </c>
      <c r="DA9" s="25">
        <v>7.0</v>
      </c>
      <c r="DB9" s="27" t="s">
        <v>356</v>
      </c>
      <c r="DC9" s="25">
        <v>5.0</v>
      </c>
      <c r="DE9" s="27" t="s">
        <v>357</v>
      </c>
      <c r="DF9" s="27">
        <v>5.0</v>
      </c>
      <c r="DG9" s="28"/>
      <c r="DH9" s="28"/>
      <c r="DI9" s="28"/>
      <c r="DJ9" s="28"/>
    </row>
    <row r="10">
      <c r="A10" s="27" t="s">
        <v>358</v>
      </c>
      <c r="B10" s="25">
        <v>3.0</v>
      </c>
      <c r="C10" s="27" t="s">
        <v>359</v>
      </c>
      <c r="D10" s="25">
        <v>12.0</v>
      </c>
      <c r="E10" s="27" t="s">
        <v>360</v>
      </c>
      <c r="F10" s="25">
        <v>0.0</v>
      </c>
      <c r="G10" s="27" t="s">
        <v>361</v>
      </c>
      <c r="H10" s="25">
        <v>4.0</v>
      </c>
      <c r="J10" s="27" t="s">
        <v>362</v>
      </c>
      <c r="K10" s="25">
        <v>8.0</v>
      </c>
      <c r="L10" s="27" t="s">
        <v>363</v>
      </c>
      <c r="M10" s="25">
        <v>4.0</v>
      </c>
      <c r="N10" s="27" t="s">
        <v>364</v>
      </c>
      <c r="O10" s="25">
        <v>7.0</v>
      </c>
      <c r="P10" s="27" t="s">
        <v>365</v>
      </c>
      <c r="Q10" s="25">
        <v>6.0</v>
      </c>
      <c r="S10" s="27" t="s">
        <v>366</v>
      </c>
      <c r="T10" s="25">
        <v>2.0</v>
      </c>
      <c r="U10" s="29" t="s">
        <v>367</v>
      </c>
      <c r="V10" s="25">
        <v>8.0</v>
      </c>
      <c r="W10" s="27" t="s">
        <v>368</v>
      </c>
      <c r="X10" s="25">
        <v>2.0</v>
      </c>
      <c r="Y10" s="27" t="s">
        <v>369</v>
      </c>
      <c r="Z10" s="25">
        <v>8.0</v>
      </c>
      <c r="AB10" s="27" t="s">
        <v>370</v>
      </c>
      <c r="AC10" s="25">
        <v>5.0</v>
      </c>
      <c r="AD10" s="27" t="s">
        <v>371</v>
      </c>
      <c r="AE10" s="25">
        <v>2.0</v>
      </c>
      <c r="AF10" s="27" t="s">
        <v>372</v>
      </c>
      <c r="AG10" s="25">
        <v>8.0</v>
      </c>
      <c r="AH10" s="27" t="s">
        <v>373</v>
      </c>
      <c r="AI10" s="25">
        <v>5.0</v>
      </c>
      <c r="AK10" s="27" t="s">
        <v>374</v>
      </c>
      <c r="AL10" s="25">
        <v>3.0</v>
      </c>
      <c r="AM10" s="27" t="s">
        <v>375</v>
      </c>
      <c r="AN10" s="25">
        <v>8.0</v>
      </c>
      <c r="AO10" s="27" t="s">
        <v>376</v>
      </c>
      <c r="AP10" s="25">
        <v>3.0</v>
      </c>
      <c r="AQ10" s="27" t="s">
        <v>377</v>
      </c>
      <c r="AR10" s="25">
        <v>4.0</v>
      </c>
      <c r="AT10" s="27" t="s">
        <v>378</v>
      </c>
      <c r="AU10" s="25">
        <v>8.0</v>
      </c>
      <c r="AV10" s="27" t="s">
        <v>379</v>
      </c>
      <c r="AW10" s="25">
        <v>6.0</v>
      </c>
      <c r="AX10" s="27" t="s">
        <v>380</v>
      </c>
      <c r="AY10" s="25">
        <v>3.0</v>
      </c>
      <c r="AZ10" s="27" t="s">
        <v>381</v>
      </c>
      <c r="BA10" s="25">
        <v>5.0</v>
      </c>
      <c r="BC10" s="27" t="s">
        <v>382</v>
      </c>
      <c r="BD10" s="25">
        <v>6.0</v>
      </c>
      <c r="BE10" s="27" t="s">
        <v>383</v>
      </c>
      <c r="BF10" s="25">
        <v>3.0</v>
      </c>
      <c r="BG10" s="27" t="s">
        <v>384</v>
      </c>
      <c r="BH10" s="25">
        <v>4.0</v>
      </c>
      <c r="BI10" s="27" t="s">
        <v>385</v>
      </c>
      <c r="BJ10" s="25">
        <v>6.0</v>
      </c>
      <c r="BL10" s="27" t="s">
        <v>386</v>
      </c>
      <c r="BM10" s="25">
        <v>4.0</v>
      </c>
      <c r="BN10" s="27" t="s">
        <v>387</v>
      </c>
      <c r="BO10" s="25">
        <v>5.0</v>
      </c>
      <c r="BP10" s="27" t="s">
        <v>388</v>
      </c>
      <c r="BQ10" s="25">
        <v>5.0</v>
      </c>
      <c r="BR10" s="27" t="s">
        <v>389</v>
      </c>
      <c r="BS10" s="25">
        <v>6.0</v>
      </c>
      <c r="BU10" s="27" t="s">
        <v>390</v>
      </c>
      <c r="BV10" s="25">
        <v>8.0</v>
      </c>
      <c r="BW10" s="27" t="s">
        <v>391</v>
      </c>
      <c r="BX10" s="25">
        <v>6.0</v>
      </c>
      <c r="BY10" s="27" t="s">
        <v>392</v>
      </c>
      <c r="BZ10" s="25">
        <v>3.0</v>
      </c>
      <c r="CA10" s="27" t="s">
        <v>393</v>
      </c>
      <c r="CB10" s="25">
        <v>3.0</v>
      </c>
      <c r="CD10" s="27" t="s">
        <v>394</v>
      </c>
      <c r="CE10" s="25">
        <v>1.0</v>
      </c>
      <c r="CF10" s="27" t="s">
        <v>395</v>
      </c>
      <c r="CG10" s="25">
        <v>8.0</v>
      </c>
      <c r="CH10" s="27" t="s">
        <v>396</v>
      </c>
      <c r="CI10" s="25">
        <v>2.0</v>
      </c>
      <c r="CJ10" s="27" t="s">
        <v>397</v>
      </c>
      <c r="CK10" s="25">
        <v>4.0</v>
      </c>
      <c r="CM10" s="27" t="s">
        <v>398</v>
      </c>
      <c r="CN10" s="25">
        <v>7.0</v>
      </c>
      <c r="CO10" s="27" t="s">
        <v>399</v>
      </c>
      <c r="CP10" s="25">
        <v>3.0</v>
      </c>
      <c r="CQ10" s="27" t="s">
        <v>400</v>
      </c>
      <c r="CR10" s="25">
        <v>5.0</v>
      </c>
      <c r="CS10" s="27" t="s">
        <v>401</v>
      </c>
      <c r="CT10" s="25">
        <v>6.0</v>
      </c>
      <c r="CV10" s="27" t="s">
        <v>402</v>
      </c>
      <c r="CW10" s="25">
        <v>1.0</v>
      </c>
      <c r="CX10" s="27" t="s">
        <v>403</v>
      </c>
      <c r="CY10" s="25">
        <v>2.0</v>
      </c>
      <c r="CZ10" s="27" t="s">
        <v>404</v>
      </c>
      <c r="DA10" s="25">
        <v>6.0</v>
      </c>
      <c r="DB10" s="27" t="s">
        <v>405</v>
      </c>
      <c r="DC10" s="25">
        <v>5.0</v>
      </c>
      <c r="DE10" s="27" t="s">
        <v>406</v>
      </c>
      <c r="DF10" s="27">
        <v>5.0</v>
      </c>
      <c r="DG10" s="28"/>
      <c r="DH10" s="28"/>
      <c r="DI10" s="28"/>
      <c r="DJ10" s="28"/>
    </row>
    <row r="11">
      <c r="A11" s="27" t="s">
        <v>407</v>
      </c>
      <c r="B11" s="25">
        <v>5.0</v>
      </c>
      <c r="C11" s="27" t="s">
        <v>408</v>
      </c>
      <c r="D11" s="25">
        <v>6.0</v>
      </c>
      <c r="E11" s="27" t="s">
        <v>409</v>
      </c>
      <c r="F11" s="25">
        <v>7.0</v>
      </c>
      <c r="G11" s="27" t="s">
        <v>410</v>
      </c>
      <c r="H11" s="25">
        <v>3.0</v>
      </c>
      <c r="J11" s="27" t="s">
        <v>411</v>
      </c>
      <c r="K11" s="25">
        <v>3.0</v>
      </c>
      <c r="L11" s="27" t="s">
        <v>412</v>
      </c>
      <c r="M11" s="25">
        <v>4.0</v>
      </c>
      <c r="N11" s="27" t="s">
        <v>413</v>
      </c>
      <c r="O11" s="25">
        <v>5.0</v>
      </c>
      <c r="P11" s="27" t="s">
        <v>414</v>
      </c>
      <c r="Q11" s="25">
        <v>4.0</v>
      </c>
      <c r="S11" s="27" t="s">
        <v>415</v>
      </c>
      <c r="T11" s="25">
        <v>3.0</v>
      </c>
      <c r="U11" s="29" t="s">
        <v>416</v>
      </c>
      <c r="V11" s="25">
        <v>8.0</v>
      </c>
      <c r="W11" s="27" t="s">
        <v>417</v>
      </c>
      <c r="X11" s="25">
        <v>7.0</v>
      </c>
      <c r="Y11" s="27" t="s">
        <v>418</v>
      </c>
      <c r="Z11" s="25">
        <v>9.0</v>
      </c>
      <c r="AB11" s="27" t="s">
        <v>419</v>
      </c>
      <c r="AC11" s="25">
        <v>7.0</v>
      </c>
      <c r="AD11" s="27" t="s">
        <v>420</v>
      </c>
      <c r="AE11" s="25">
        <v>4.0</v>
      </c>
      <c r="AF11" s="27" t="s">
        <v>421</v>
      </c>
      <c r="AG11" s="25">
        <v>5.0</v>
      </c>
      <c r="AH11" s="27" t="s">
        <v>422</v>
      </c>
      <c r="AI11" s="25">
        <v>3.0</v>
      </c>
      <c r="AK11" s="27" t="s">
        <v>423</v>
      </c>
      <c r="AL11" s="25">
        <v>6.0</v>
      </c>
      <c r="AM11" s="27" t="s">
        <v>424</v>
      </c>
      <c r="AN11" s="25">
        <v>7.0</v>
      </c>
      <c r="AO11" s="27" t="s">
        <v>425</v>
      </c>
      <c r="AP11" s="25">
        <v>3.0</v>
      </c>
      <c r="AQ11" s="27" t="s">
        <v>426</v>
      </c>
      <c r="AR11" s="25">
        <v>6.0</v>
      </c>
      <c r="AT11" s="27" t="s">
        <v>427</v>
      </c>
      <c r="AU11" s="25">
        <v>8.0</v>
      </c>
      <c r="AV11" s="27" t="s">
        <v>428</v>
      </c>
      <c r="AW11" s="25">
        <v>4.0</v>
      </c>
      <c r="AX11" s="27" t="s">
        <v>429</v>
      </c>
      <c r="AY11" s="25">
        <v>4.0</v>
      </c>
      <c r="AZ11" s="27" t="s">
        <v>430</v>
      </c>
      <c r="BA11" s="25">
        <v>2.0</v>
      </c>
      <c r="BC11" s="27" t="s">
        <v>431</v>
      </c>
      <c r="BD11" s="25">
        <v>2.0</v>
      </c>
      <c r="BE11" s="27" t="s">
        <v>432</v>
      </c>
      <c r="BF11" s="25">
        <v>2.0</v>
      </c>
      <c r="BG11" s="27" t="s">
        <v>433</v>
      </c>
      <c r="BH11" s="25">
        <v>2.0</v>
      </c>
      <c r="BI11" s="27" t="s">
        <v>434</v>
      </c>
      <c r="BJ11" s="25">
        <v>9.0</v>
      </c>
      <c r="BL11" s="27" t="s">
        <v>435</v>
      </c>
      <c r="BM11" s="25">
        <v>4.0</v>
      </c>
      <c r="BN11" s="27" t="s">
        <v>436</v>
      </c>
      <c r="BO11" s="25">
        <v>6.0</v>
      </c>
      <c r="BP11" s="27" t="s">
        <v>437</v>
      </c>
      <c r="BQ11" s="25">
        <v>5.0</v>
      </c>
      <c r="BR11" s="27" t="s">
        <v>438</v>
      </c>
      <c r="BS11" s="25">
        <v>5.0</v>
      </c>
      <c r="BU11" s="27" t="s">
        <v>439</v>
      </c>
      <c r="BV11" s="25">
        <v>5.0</v>
      </c>
      <c r="BW11" s="27" t="s">
        <v>440</v>
      </c>
      <c r="BX11" s="25">
        <v>10.0</v>
      </c>
      <c r="BY11" s="27" t="s">
        <v>441</v>
      </c>
      <c r="BZ11" s="25">
        <v>3.0</v>
      </c>
      <c r="CA11" s="27" t="s">
        <v>442</v>
      </c>
      <c r="CB11" s="25">
        <v>1.0</v>
      </c>
      <c r="CD11" s="27" t="s">
        <v>443</v>
      </c>
      <c r="CE11" s="25">
        <v>4.0</v>
      </c>
      <c r="CF11" s="27" t="s">
        <v>444</v>
      </c>
      <c r="CG11" s="25">
        <v>3.0</v>
      </c>
      <c r="CH11" s="27" t="s">
        <v>445</v>
      </c>
      <c r="CI11" s="25">
        <v>4.0</v>
      </c>
      <c r="CJ11" s="27" t="s">
        <v>446</v>
      </c>
      <c r="CK11" s="25">
        <v>4.0</v>
      </c>
      <c r="CM11" s="27" t="s">
        <v>447</v>
      </c>
      <c r="CN11" s="25">
        <v>2.0</v>
      </c>
      <c r="CO11" s="27" t="s">
        <v>448</v>
      </c>
      <c r="CP11" s="25">
        <v>3.0</v>
      </c>
      <c r="CQ11" s="27" t="s">
        <v>449</v>
      </c>
      <c r="CR11" s="25">
        <v>4.0</v>
      </c>
      <c r="CS11" s="27" t="s">
        <v>450</v>
      </c>
      <c r="CT11" s="25">
        <v>6.0</v>
      </c>
      <c r="CV11" s="27" t="s">
        <v>451</v>
      </c>
      <c r="CW11" s="25">
        <v>2.0</v>
      </c>
      <c r="CX11" s="27" t="s">
        <v>452</v>
      </c>
      <c r="CY11" s="25">
        <v>4.0</v>
      </c>
      <c r="CZ11" s="27" t="s">
        <v>453</v>
      </c>
      <c r="DA11" s="25">
        <v>4.0</v>
      </c>
      <c r="DB11" s="27" t="s">
        <v>454</v>
      </c>
      <c r="DC11" s="25">
        <v>4.0</v>
      </c>
      <c r="DE11" s="27" t="s">
        <v>455</v>
      </c>
      <c r="DF11" s="27">
        <v>6.0</v>
      </c>
      <c r="DG11" s="28"/>
      <c r="DH11" s="28"/>
      <c r="DI11" s="28"/>
      <c r="DJ11" s="28"/>
    </row>
    <row r="12">
      <c r="A12" s="27" t="s">
        <v>456</v>
      </c>
      <c r="B12" s="25">
        <v>2.0</v>
      </c>
      <c r="C12" s="27" t="s">
        <v>457</v>
      </c>
      <c r="D12" s="25">
        <v>4.0</v>
      </c>
      <c r="E12" s="27" t="s">
        <v>458</v>
      </c>
      <c r="F12" s="25">
        <v>3.0</v>
      </c>
      <c r="G12" s="27" t="s">
        <v>459</v>
      </c>
      <c r="H12" s="25">
        <v>1.0</v>
      </c>
      <c r="J12" s="27" t="s">
        <v>460</v>
      </c>
      <c r="K12" s="31">
        <v>6.0</v>
      </c>
      <c r="L12" s="27" t="s">
        <v>461</v>
      </c>
      <c r="M12" s="31">
        <v>2.0</v>
      </c>
      <c r="N12" s="27" t="s">
        <v>462</v>
      </c>
      <c r="O12" s="31">
        <v>8.0</v>
      </c>
      <c r="P12" s="27" t="s">
        <v>463</v>
      </c>
      <c r="Q12" s="31">
        <v>4.0</v>
      </c>
      <c r="S12" s="27" t="s">
        <v>464</v>
      </c>
      <c r="T12" s="25">
        <v>3.0</v>
      </c>
      <c r="U12" s="29" t="s">
        <v>465</v>
      </c>
      <c r="V12" s="25">
        <v>5.0</v>
      </c>
      <c r="W12" s="27" t="s">
        <v>466</v>
      </c>
      <c r="X12" s="25">
        <v>4.0</v>
      </c>
      <c r="Y12" s="27" t="s">
        <v>467</v>
      </c>
      <c r="Z12" s="25">
        <v>7.0</v>
      </c>
      <c r="AB12" s="27" t="s">
        <v>468</v>
      </c>
      <c r="AC12" s="25">
        <v>5.0</v>
      </c>
      <c r="AD12" s="27" t="s">
        <v>469</v>
      </c>
      <c r="AE12" s="25">
        <v>1.0</v>
      </c>
      <c r="AF12" s="27" t="s">
        <v>470</v>
      </c>
      <c r="AG12" s="25">
        <v>6.0</v>
      </c>
      <c r="AH12" s="27" t="s">
        <v>471</v>
      </c>
      <c r="AI12" s="25">
        <v>2.0</v>
      </c>
      <c r="AK12" s="27" t="s">
        <v>472</v>
      </c>
      <c r="AL12" s="25">
        <v>4.0</v>
      </c>
      <c r="AM12" s="27" t="s">
        <v>473</v>
      </c>
      <c r="AN12" s="25">
        <v>6.0</v>
      </c>
      <c r="AO12" s="27" t="s">
        <v>474</v>
      </c>
      <c r="AP12" s="25">
        <v>8.0</v>
      </c>
      <c r="AQ12" s="27" t="s">
        <v>475</v>
      </c>
      <c r="AR12" s="25">
        <v>4.0</v>
      </c>
      <c r="AT12" s="27" t="s">
        <v>476</v>
      </c>
      <c r="AU12" s="25">
        <v>7.0</v>
      </c>
      <c r="AV12" s="27" t="s">
        <v>477</v>
      </c>
      <c r="AW12" s="25">
        <v>2.0</v>
      </c>
      <c r="AX12" s="27" t="s">
        <v>478</v>
      </c>
      <c r="AY12" s="25">
        <v>3.0</v>
      </c>
      <c r="AZ12" s="27" t="s">
        <v>479</v>
      </c>
      <c r="BA12" s="25">
        <v>3.0</v>
      </c>
      <c r="BC12" s="27" t="s">
        <v>480</v>
      </c>
      <c r="BD12" s="25">
        <v>4.0</v>
      </c>
      <c r="BE12" s="27" t="s">
        <v>481</v>
      </c>
      <c r="BF12" s="25">
        <v>5.0</v>
      </c>
      <c r="BG12" s="27" t="s">
        <v>482</v>
      </c>
      <c r="BH12" s="25">
        <v>4.0</v>
      </c>
      <c r="BI12" s="27" t="s">
        <v>483</v>
      </c>
      <c r="BJ12" s="25">
        <v>5.0</v>
      </c>
      <c r="BL12" s="27" t="s">
        <v>484</v>
      </c>
      <c r="BM12" s="25">
        <v>5.0</v>
      </c>
      <c r="BN12" s="27" t="s">
        <v>485</v>
      </c>
      <c r="BO12" s="25">
        <v>2.0</v>
      </c>
      <c r="BP12" s="27" t="s">
        <v>486</v>
      </c>
      <c r="BQ12" s="25">
        <v>5.0</v>
      </c>
      <c r="BR12" s="27" t="s">
        <v>487</v>
      </c>
      <c r="BS12" s="25">
        <v>4.0</v>
      </c>
      <c r="BU12" s="27" t="s">
        <v>488</v>
      </c>
      <c r="BV12" s="25">
        <v>5.0</v>
      </c>
      <c r="BW12" s="27" t="s">
        <v>489</v>
      </c>
      <c r="BX12" s="25">
        <v>12.0</v>
      </c>
      <c r="BY12" s="27" t="s">
        <v>490</v>
      </c>
      <c r="BZ12" s="25">
        <v>3.0</v>
      </c>
      <c r="CA12" s="27" t="s">
        <v>491</v>
      </c>
      <c r="CB12" s="25">
        <v>3.0</v>
      </c>
      <c r="CD12" s="27" t="s">
        <v>492</v>
      </c>
      <c r="CE12" s="25">
        <v>6.0</v>
      </c>
      <c r="CF12" s="27" t="s">
        <v>493</v>
      </c>
      <c r="CG12" s="25">
        <v>4.0</v>
      </c>
      <c r="CH12" s="27" t="s">
        <v>494</v>
      </c>
      <c r="CI12" s="25">
        <v>2.0</v>
      </c>
      <c r="CJ12" s="27" t="s">
        <v>495</v>
      </c>
      <c r="CK12" s="25">
        <v>4.0</v>
      </c>
      <c r="CM12" s="27" t="s">
        <v>496</v>
      </c>
      <c r="CN12" s="25">
        <v>6.0</v>
      </c>
      <c r="CO12" s="27" t="s">
        <v>497</v>
      </c>
      <c r="CP12" s="25">
        <v>4.0</v>
      </c>
      <c r="CQ12" s="27" t="s">
        <v>498</v>
      </c>
      <c r="CR12" s="25">
        <v>5.0</v>
      </c>
      <c r="CS12" s="27" t="s">
        <v>499</v>
      </c>
      <c r="CT12" s="25">
        <v>7.0</v>
      </c>
      <c r="CV12" s="27" t="s">
        <v>500</v>
      </c>
      <c r="CW12" s="25">
        <v>4.0</v>
      </c>
      <c r="CX12" s="32" t="s">
        <v>501</v>
      </c>
      <c r="CY12" s="25">
        <v>2.0</v>
      </c>
      <c r="CZ12" s="27" t="s">
        <v>502</v>
      </c>
      <c r="DA12" s="25">
        <v>3.0</v>
      </c>
      <c r="DB12" s="27" t="s">
        <v>503</v>
      </c>
      <c r="DC12" s="25">
        <v>6.0</v>
      </c>
      <c r="DE12" s="27" t="s">
        <v>504</v>
      </c>
      <c r="DF12" s="27">
        <v>2.0</v>
      </c>
      <c r="DG12" s="28"/>
      <c r="DH12" s="28"/>
      <c r="DI12" s="28"/>
      <c r="DJ12" s="28"/>
    </row>
    <row r="13">
      <c r="A13" s="27" t="s">
        <v>505</v>
      </c>
      <c r="B13" s="25">
        <v>3.0</v>
      </c>
      <c r="C13" s="27" t="s">
        <v>506</v>
      </c>
      <c r="D13" s="25">
        <v>16.0</v>
      </c>
      <c r="E13" s="27" t="s">
        <v>507</v>
      </c>
      <c r="F13" s="25">
        <v>5.0</v>
      </c>
      <c r="G13" s="27" t="s">
        <v>508</v>
      </c>
      <c r="H13" s="25">
        <v>6.0</v>
      </c>
      <c r="J13" s="27" t="s">
        <v>509</v>
      </c>
      <c r="K13" s="25">
        <v>8.0</v>
      </c>
      <c r="L13" s="27" t="s">
        <v>510</v>
      </c>
      <c r="M13" s="25">
        <v>6.0</v>
      </c>
      <c r="N13" s="27" t="s">
        <v>511</v>
      </c>
      <c r="O13" s="25">
        <v>4.0</v>
      </c>
      <c r="P13" s="27" t="s">
        <v>512</v>
      </c>
      <c r="Q13" s="25">
        <v>3.0</v>
      </c>
      <c r="S13" s="27" t="s">
        <v>513</v>
      </c>
      <c r="T13" s="25">
        <v>6.0</v>
      </c>
      <c r="U13" s="29" t="s">
        <v>514</v>
      </c>
      <c r="V13" s="25">
        <v>3.0</v>
      </c>
      <c r="W13" s="27" t="s">
        <v>515</v>
      </c>
      <c r="X13" s="25">
        <v>4.0</v>
      </c>
      <c r="Y13" s="27" t="s">
        <v>516</v>
      </c>
      <c r="Z13" s="25">
        <v>9.0</v>
      </c>
      <c r="AB13" s="27" t="s">
        <v>517</v>
      </c>
      <c r="AC13" s="25">
        <v>3.0</v>
      </c>
      <c r="AD13" s="27" t="s">
        <v>518</v>
      </c>
      <c r="AE13" s="25">
        <v>5.0</v>
      </c>
      <c r="AF13" s="27" t="s">
        <v>519</v>
      </c>
      <c r="AG13" s="25">
        <v>3.0</v>
      </c>
      <c r="AH13" s="27" t="s">
        <v>520</v>
      </c>
      <c r="AI13" s="25">
        <v>5.0</v>
      </c>
      <c r="AK13" s="27" t="s">
        <v>521</v>
      </c>
      <c r="AL13" s="25">
        <v>7.0</v>
      </c>
      <c r="AM13" s="27" t="s">
        <v>522</v>
      </c>
      <c r="AN13" s="25">
        <v>3.0</v>
      </c>
      <c r="AO13" s="27" t="s">
        <v>523</v>
      </c>
      <c r="AP13" s="25">
        <v>4.0</v>
      </c>
      <c r="AQ13" s="27" t="s">
        <v>524</v>
      </c>
      <c r="AR13" s="25">
        <v>5.0</v>
      </c>
      <c r="AT13" s="27" t="s">
        <v>525</v>
      </c>
      <c r="AU13" s="25">
        <v>4.0</v>
      </c>
      <c r="AV13" s="27" t="s">
        <v>526</v>
      </c>
      <c r="AW13" s="25">
        <v>6.0</v>
      </c>
      <c r="AX13" s="27" t="s">
        <v>527</v>
      </c>
      <c r="AY13" s="25">
        <v>2.0</v>
      </c>
      <c r="AZ13" s="27" t="s">
        <v>528</v>
      </c>
      <c r="BA13" s="25">
        <v>4.0</v>
      </c>
      <c r="BC13" s="27" t="s">
        <v>529</v>
      </c>
      <c r="BD13" s="25">
        <v>6.0</v>
      </c>
      <c r="BE13" s="27" t="s">
        <v>530</v>
      </c>
      <c r="BF13" s="25">
        <v>4.0</v>
      </c>
      <c r="BG13" s="27" t="s">
        <v>531</v>
      </c>
      <c r="BH13" s="25">
        <v>3.0</v>
      </c>
      <c r="BI13" s="27" t="s">
        <v>532</v>
      </c>
      <c r="BJ13" s="25">
        <v>3.0</v>
      </c>
      <c r="BL13" s="27" t="s">
        <v>533</v>
      </c>
      <c r="BM13" s="25">
        <v>5.0</v>
      </c>
      <c r="BN13" s="27" t="s">
        <v>534</v>
      </c>
      <c r="BO13" s="25">
        <v>4.0</v>
      </c>
      <c r="BP13" s="27" t="s">
        <v>535</v>
      </c>
      <c r="BQ13" s="25">
        <v>8.0</v>
      </c>
      <c r="BR13" s="27" t="s">
        <v>536</v>
      </c>
      <c r="BS13" s="25">
        <v>5.0</v>
      </c>
      <c r="BU13" s="27" t="s">
        <v>537</v>
      </c>
      <c r="BV13" s="25">
        <v>6.0</v>
      </c>
      <c r="BW13" s="27" t="s">
        <v>538</v>
      </c>
      <c r="BX13" s="25">
        <v>6.0</v>
      </c>
      <c r="BY13" s="27" t="s">
        <v>539</v>
      </c>
      <c r="BZ13" s="25">
        <v>7.0</v>
      </c>
      <c r="CA13" s="27" t="s">
        <v>540</v>
      </c>
      <c r="CB13" s="25">
        <v>4.0</v>
      </c>
      <c r="CD13" s="27" t="s">
        <v>541</v>
      </c>
      <c r="CE13" s="25">
        <v>7.0</v>
      </c>
      <c r="CF13" s="27" t="s">
        <v>542</v>
      </c>
      <c r="CG13" s="25">
        <v>6.0</v>
      </c>
      <c r="CH13" s="27" t="s">
        <v>543</v>
      </c>
      <c r="CI13" s="25">
        <v>3.0</v>
      </c>
      <c r="CJ13" s="27" t="s">
        <v>544</v>
      </c>
      <c r="CK13" s="25">
        <v>6.0</v>
      </c>
      <c r="CM13" s="27" t="s">
        <v>545</v>
      </c>
      <c r="CN13" s="25">
        <v>8.0</v>
      </c>
      <c r="CO13" s="27" t="s">
        <v>546</v>
      </c>
      <c r="CP13" s="25">
        <v>4.0</v>
      </c>
      <c r="CQ13" s="27" t="s">
        <v>547</v>
      </c>
      <c r="CR13" s="25">
        <v>6.0</v>
      </c>
      <c r="CS13" s="27" t="s">
        <v>548</v>
      </c>
      <c r="CT13" s="25">
        <v>3.0</v>
      </c>
      <c r="CV13" s="27" t="s">
        <v>549</v>
      </c>
      <c r="CW13" s="25">
        <v>3.0</v>
      </c>
      <c r="CX13" s="27" t="s">
        <v>550</v>
      </c>
      <c r="CY13" s="25">
        <v>6.0</v>
      </c>
      <c r="CZ13" s="27" t="s">
        <v>551</v>
      </c>
      <c r="DA13" s="25">
        <v>7.0</v>
      </c>
      <c r="DB13" s="27" t="s">
        <v>552</v>
      </c>
      <c r="DC13" s="25">
        <v>3.0</v>
      </c>
      <c r="DE13" s="33" t="s">
        <v>553</v>
      </c>
      <c r="DF13" s="34">
        <v>9.0</v>
      </c>
      <c r="DG13" s="35"/>
      <c r="DH13" s="35"/>
      <c r="DI13" s="35"/>
      <c r="DJ13" s="35"/>
    </row>
    <row r="14">
      <c r="A14" s="27" t="s">
        <v>554</v>
      </c>
      <c r="B14" s="25">
        <v>2.0</v>
      </c>
      <c r="C14" s="27" t="s">
        <v>555</v>
      </c>
      <c r="D14" s="25">
        <v>13.0</v>
      </c>
      <c r="E14" s="27" t="s">
        <v>556</v>
      </c>
      <c r="F14" s="25">
        <v>7.0</v>
      </c>
      <c r="G14" s="27" t="s">
        <v>557</v>
      </c>
      <c r="H14" s="25">
        <v>5.0</v>
      </c>
      <c r="J14" s="27" t="s">
        <v>558</v>
      </c>
      <c r="K14" s="25">
        <v>7.0</v>
      </c>
      <c r="L14" s="27" t="s">
        <v>559</v>
      </c>
      <c r="M14" s="25">
        <v>6.0</v>
      </c>
      <c r="N14" s="27" t="s">
        <v>560</v>
      </c>
      <c r="O14" s="25">
        <v>4.0</v>
      </c>
      <c r="P14" s="27" t="s">
        <v>561</v>
      </c>
      <c r="Q14" s="25">
        <v>2.0</v>
      </c>
      <c r="S14" s="27" t="s">
        <v>562</v>
      </c>
      <c r="T14" s="25">
        <v>3.0</v>
      </c>
      <c r="U14" s="29" t="s">
        <v>563</v>
      </c>
      <c r="V14" s="25">
        <v>5.0</v>
      </c>
      <c r="W14" s="27" t="s">
        <v>564</v>
      </c>
      <c r="X14" s="25">
        <v>3.0</v>
      </c>
      <c r="Y14" s="27" t="s">
        <v>565</v>
      </c>
      <c r="Z14" s="25">
        <v>13.0</v>
      </c>
      <c r="AB14" s="27" t="s">
        <v>566</v>
      </c>
      <c r="AC14" s="25">
        <v>4.0</v>
      </c>
      <c r="AD14" s="27" t="s">
        <v>567</v>
      </c>
      <c r="AE14" s="25">
        <v>4.0</v>
      </c>
      <c r="AF14" s="27" t="s">
        <v>568</v>
      </c>
      <c r="AG14" s="25">
        <v>4.0</v>
      </c>
      <c r="AH14" s="27" t="s">
        <v>569</v>
      </c>
      <c r="AI14" s="25">
        <v>4.0</v>
      </c>
      <c r="AK14" s="27" t="s">
        <v>570</v>
      </c>
      <c r="AL14" s="25">
        <v>5.0</v>
      </c>
      <c r="AM14" s="27" t="s">
        <v>571</v>
      </c>
      <c r="AN14" s="25">
        <v>3.0</v>
      </c>
      <c r="AO14" s="27" t="s">
        <v>572</v>
      </c>
      <c r="AP14" s="25">
        <v>4.0</v>
      </c>
      <c r="AQ14" s="27" t="s">
        <v>573</v>
      </c>
      <c r="AR14" s="25">
        <v>3.0</v>
      </c>
      <c r="AT14" s="27" t="s">
        <v>574</v>
      </c>
      <c r="AU14" s="25">
        <v>6.0</v>
      </c>
      <c r="AV14" s="27" t="s">
        <v>575</v>
      </c>
      <c r="AW14" s="25">
        <v>6.0</v>
      </c>
      <c r="AX14" s="27" t="s">
        <v>576</v>
      </c>
      <c r="AY14" s="25">
        <v>5.0</v>
      </c>
      <c r="AZ14" s="27" t="s">
        <v>577</v>
      </c>
      <c r="BA14" s="25">
        <v>2.0</v>
      </c>
      <c r="BC14" s="27" t="s">
        <v>578</v>
      </c>
      <c r="BD14" s="25">
        <v>2.0</v>
      </c>
      <c r="BE14" s="27" t="s">
        <v>579</v>
      </c>
      <c r="BF14" s="25">
        <v>7.0</v>
      </c>
      <c r="BG14" s="27" t="s">
        <v>580</v>
      </c>
      <c r="BH14" s="25">
        <v>6.0</v>
      </c>
      <c r="BI14" s="27" t="s">
        <v>581</v>
      </c>
      <c r="BJ14" s="25">
        <v>3.0</v>
      </c>
      <c r="BL14" s="27" t="s">
        <v>582</v>
      </c>
      <c r="BM14" s="25">
        <v>3.0</v>
      </c>
      <c r="BN14" s="27" t="s">
        <v>583</v>
      </c>
      <c r="BO14" s="25">
        <v>4.0</v>
      </c>
      <c r="BP14" s="27" t="s">
        <v>584</v>
      </c>
      <c r="BQ14" s="25">
        <v>2.0</v>
      </c>
      <c r="BR14" s="27" t="s">
        <v>585</v>
      </c>
      <c r="BS14" s="25">
        <v>6.0</v>
      </c>
      <c r="BU14" s="27" t="s">
        <v>586</v>
      </c>
      <c r="BV14" s="25">
        <v>9.0</v>
      </c>
      <c r="BW14" s="27" t="s">
        <v>587</v>
      </c>
      <c r="BX14" s="25">
        <v>1.0</v>
      </c>
      <c r="BY14" s="27" t="s">
        <v>588</v>
      </c>
      <c r="BZ14" s="25">
        <v>4.0</v>
      </c>
      <c r="CA14" s="27" t="s">
        <v>589</v>
      </c>
      <c r="CB14" s="25">
        <v>2.0</v>
      </c>
      <c r="CD14" s="27" t="s">
        <v>590</v>
      </c>
      <c r="CE14" s="25">
        <v>2.0</v>
      </c>
      <c r="CF14" s="27" t="s">
        <v>591</v>
      </c>
      <c r="CG14" s="25">
        <v>5.0</v>
      </c>
      <c r="CH14" s="27" t="s">
        <v>592</v>
      </c>
      <c r="CI14" s="25">
        <v>4.0</v>
      </c>
      <c r="CJ14" s="27" t="s">
        <v>593</v>
      </c>
      <c r="CK14" s="25">
        <v>3.0</v>
      </c>
      <c r="CM14" s="27" t="s">
        <v>594</v>
      </c>
      <c r="CN14" s="25">
        <v>7.0</v>
      </c>
      <c r="CO14" s="27" t="s">
        <v>595</v>
      </c>
      <c r="CP14" s="25">
        <v>4.0</v>
      </c>
      <c r="CQ14" s="27" t="s">
        <v>596</v>
      </c>
      <c r="CR14" s="25">
        <v>3.0</v>
      </c>
      <c r="CS14" s="27" t="s">
        <v>597</v>
      </c>
      <c r="CT14" s="25">
        <v>6.0</v>
      </c>
      <c r="CV14" s="27" t="s">
        <v>598</v>
      </c>
      <c r="CW14" s="25">
        <v>0.0</v>
      </c>
      <c r="CX14" s="27" t="s">
        <v>599</v>
      </c>
      <c r="CY14" s="25">
        <v>3.0</v>
      </c>
      <c r="CZ14" s="27" t="s">
        <v>600</v>
      </c>
      <c r="DA14" s="25">
        <v>3.0</v>
      </c>
      <c r="DB14" s="27" t="s">
        <v>601</v>
      </c>
      <c r="DC14" s="25">
        <v>6.0</v>
      </c>
      <c r="DE14" s="33" t="s">
        <v>602</v>
      </c>
      <c r="DF14" s="34">
        <v>4.0</v>
      </c>
      <c r="DG14" s="35"/>
      <c r="DH14" s="35"/>
      <c r="DI14" s="35"/>
      <c r="DJ14" s="35"/>
    </row>
    <row r="15">
      <c r="A15" s="27" t="s">
        <v>603</v>
      </c>
      <c r="B15" s="25">
        <v>7.0</v>
      </c>
      <c r="C15" s="27" t="s">
        <v>604</v>
      </c>
      <c r="D15" s="25">
        <v>5.0</v>
      </c>
      <c r="E15" s="27" t="s">
        <v>605</v>
      </c>
      <c r="F15" s="25">
        <v>8.0</v>
      </c>
      <c r="G15" s="27" t="s">
        <v>606</v>
      </c>
      <c r="H15" s="25">
        <v>4.0</v>
      </c>
      <c r="J15" s="27" t="s">
        <v>607</v>
      </c>
      <c r="K15" s="25">
        <v>4.0</v>
      </c>
      <c r="L15" s="27" t="s">
        <v>608</v>
      </c>
      <c r="M15" s="25">
        <v>4.0</v>
      </c>
      <c r="N15" s="27" t="s">
        <v>609</v>
      </c>
      <c r="O15" s="25">
        <v>12.0</v>
      </c>
      <c r="P15" s="27" t="s">
        <v>610</v>
      </c>
      <c r="Q15" s="25">
        <v>7.0</v>
      </c>
      <c r="S15" s="27" t="s">
        <v>611</v>
      </c>
      <c r="T15" s="25">
        <v>7.0</v>
      </c>
      <c r="U15" s="29" t="s">
        <v>612</v>
      </c>
      <c r="V15" s="25">
        <v>5.0</v>
      </c>
      <c r="W15" s="27" t="s">
        <v>613</v>
      </c>
      <c r="X15" s="25">
        <v>8.0</v>
      </c>
      <c r="Y15" s="27" t="s">
        <v>614</v>
      </c>
      <c r="Z15" s="25">
        <v>5.0</v>
      </c>
      <c r="AB15" s="27" t="s">
        <v>615</v>
      </c>
      <c r="AC15" s="25">
        <v>7.0</v>
      </c>
      <c r="AD15" s="27" t="s">
        <v>616</v>
      </c>
      <c r="AE15" s="25">
        <v>4.0</v>
      </c>
      <c r="AF15" s="27" t="s">
        <v>617</v>
      </c>
      <c r="AG15" s="25">
        <v>5.0</v>
      </c>
      <c r="AH15" s="27" t="s">
        <v>618</v>
      </c>
      <c r="AI15" s="25">
        <v>4.0</v>
      </c>
      <c r="AK15" s="27" t="s">
        <v>619</v>
      </c>
      <c r="AL15" s="25">
        <v>5.0</v>
      </c>
      <c r="AM15" s="27" t="s">
        <v>620</v>
      </c>
      <c r="AN15" s="25">
        <v>5.0</v>
      </c>
      <c r="AO15" s="27" t="s">
        <v>621</v>
      </c>
      <c r="AP15" s="25">
        <v>4.0</v>
      </c>
      <c r="AQ15" s="27" t="s">
        <v>622</v>
      </c>
      <c r="AR15" s="25">
        <v>4.0</v>
      </c>
      <c r="AT15" s="27" t="s">
        <v>623</v>
      </c>
      <c r="AU15" s="25">
        <v>7.0</v>
      </c>
      <c r="AV15" s="27" t="s">
        <v>624</v>
      </c>
      <c r="AW15" s="25">
        <v>4.0</v>
      </c>
      <c r="AX15" s="27" t="s">
        <v>625</v>
      </c>
      <c r="AY15" s="25">
        <v>6.0</v>
      </c>
      <c r="AZ15" s="27" t="s">
        <v>626</v>
      </c>
      <c r="BA15" s="25">
        <v>4.0</v>
      </c>
      <c r="BC15" s="27" t="s">
        <v>627</v>
      </c>
      <c r="BD15" s="25">
        <v>3.0</v>
      </c>
      <c r="BE15" s="27" t="s">
        <v>628</v>
      </c>
      <c r="BF15" s="25">
        <v>8.0</v>
      </c>
      <c r="BG15" s="27" t="s">
        <v>629</v>
      </c>
      <c r="BH15" s="25">
        <v>2.0</v>
      </c>
      <c r="BI15" s="27" t="s">
        <v>630</v>
      </c>
      <c r="BJ15" s="25">
        <v>5.0</v>
      </c>
      <c r="BL15" s="27" t="s">
        <v>631</v>
      </c>
      <c r="BM15" s="25">
        <v>2.0</v>
      </c>
      <c r="BN15" s="27" t="s">
        <v>632</v>
      </c>
      <c r="BO15" s="25">
        <v>6.0</v>
      </c>
      <c r="BP15" s="27" t="s">
        <v>633</v>
      </c>
      <c r="BQ15" s="25">
        <v>3.0</v>
      </c>
      <c r="BR15" s="27" t="s">
        <v>634</v>
      </c>
      <c r="BS15" s="25">
        <v>2.0</v>
      </c>
      <c r="BU15" s="27" t="s">
        <v>635</v>
      </c>
      <c r="BV15" s="25">
        <v>5.0</v>
      </c>
      <c r="BW15" s="27" t="s">
        <v>636</v>
      </c>
      <c r="BX15" s="25">
        <v>6.0</v>
      </c>
      <c r="BY15" s="27" t="s">
        <v>637</v>
      </c>
      <c r="BZ15" s="25">
        <v>1.0</v>
      </c>
      <c r="CA15" s="27" t="s">
        <v>638</v>
      </c>
      <c r="CB15" s="25">
        <v>4.0</v>
      </c>
      <c r="CD15" s="27" t="s">
        <v>639</v>
      </c>
      <c r="CE15" s="25">
        <v>5.0</v>
      </c>
      <c r="CF15" s="27" t="s">
        <v>640</v>
      </c>
      <c r="CG15" s="25">
        <v>3.0</v>
      </c>
      <c r="CH15" s="27" t="s">
        <v>641</v>
      </c>
      <c r="CI15" s="25">
        <v>5.0</v>
      </c>
      <c r="CJ15" s="27" t="s">
        <v>642</v>
      </c>
      <c r="CK15" s="25">
        <v>5.0</v>
      </c>
      <c r="CM15" s="27" t="s">
        <v>643</v>
      </c>
      <c r="CN15" s="25">
        <v>2.0</v>
      </c>
      <c r="CO15" s="27" t="s">
        <v>644</v>
      </c>
      <c r="CP15" s="25">
        <v>4.0</v>
      </c>
      <c r="CQ15" s="27" t="s">
        <v>645</v>
      </c>
      <c r="CR15" s="25">
        <v>4.0</v>
      </c>
      <c r="CS15" s="27" t="s">
        <v>646</v>
      </c>
      <c r="CT15" s="25">
        <v>5.0</v>
      </c>
      <c r="CV15" s="27" t="s">
        <v>647</v>
      </c>
      <c r="CW15" s="25">
        <v>7.0</v>
      </c>
      <c r="CX15" s="27" t="s">
        <v>648</v>
      </c>
      <c r="CY15" s="25">
        <v>2.0</v>
      </c>
      <c r="CZ15" s="27" t="s">
        <v>649</v>
      </c>
      <c r="DA15" s="25">
        <v>6.0</v>
      </c>
      <c r="DB15" s="27" t="s">
        <v>650</v>
      </c>
      <c r="DC15" s="25">
        <v>6.0</v>
      </c>
      <c r="DE15" s="33" t="s">
        <v>651</v>
      </c>
      <c r="DF15" s="34">
        <v>7.0</v>
      </c>
      <c r="DG15" s="35"/>
      <c r="DH15" s="35"/>
      <c r="DI15" s="35"/>
      <c r="DJ15" s="35"/>
    </row>
    <row r="16">
      <c r="A16" s="36" t="s">
        <v>652</v>
      </c>
      <c r="B16" s="25">
        <v>7.0</v>
      </c>
      <c r="C16" s="36" t="s">
        <v>653</v>
      </c>
      <c r="D16" s="25">
        <v>3.0</v>
      </c>
      <c r="E16" s="36" t="s">
        <v>654</v>
      </c>
      <c r="F16" s="25">
        <v>2.0</v>
      </c>
      <c r="G16" s="36" t="s">
        <v>655</v>
      </c>
      <c r="H16" s="25">
        <v>2.0</v>
      </c>
      <c r="J16" s="36" t="s">
        <v>656</v>
      </c>
      <c r="K16" s="25">
        <v>3.0</v>
      </c>
      <c r="L16" s="36" t="s">
        <v>657</v>
      </c>
      <c r="M16" s="25">
        <v>3.0</v>
      </c>
      <c r="N16" s="36" t="s">
        <v>658</v>
      </c>
      <c r="O16" s="25">
        <v>3.0</v>
      </c>
      <c r="P16" s="36" t="s">
        <v>659</v>
      </c>
      <c r="Q16" s="25">
        <v>3.0</v>
      </c>
      <c r="S16" s="36" t="s">
        <v>660</v>
      </c>
      <c r="T16" s="25">
        <v>4.0</v>
      </c>
      <c r="U16" s="36" t="s">
        <v>661</v>
      </c>
      <c r="V16" s="25">
        <v>4.0</v>
      </c>
      <c r="W16" s="36" t="s">
        <v>662</v>
      </c>
      <c r="X16" s="25">
        <v>2.0</v>
      </c>
      <c r="Y16" s="36" t="s">
        <v>663</v>
      </c>
      <c r="Z16" s="25">
        <v>6.0</v>
      </c>
      <c r="AB16" s="36" t="s">
        <v>664</v>
      </c>
      <c r="AC16" s="25">
        <v>3.0</v>
      </c>
      <c r="AD16" s="36" t="s">
        <v>665</v>
      </c>
      <c r="AE16" s="25">
        <v>5.0</v>
      </c>
      <c r="AF16" s="36" t="s">
        <v>666</v>
      </c>
      <c r="AG16" s="25">
        <v>4.0</v>
      </c>
      <c r="AH16" s="36" t="s">
        <v>667</v>
      </c>
      <c r="AI16" s="25">
        <v>3.0</v>
      </c>
      <c r="AK16" s="36" t="s">
        <v>668</v>
      </c>
      <c r="AL16" s="25">
        <v>6.0</v>
      </c>
      <c r="AM16" s="36" t="s">
        <v>669</v>
      </c>
      <c r="AN16" s="25">
        <v>5.0</v>
      </c>
      <c r="AO16" s="36" t="s">
        <v>670</v>
      </c>
      <c r="AP16" s="25">
        <v>5.0</v>
      </c>
      <c r="AQ16" s="36" t="s">
        <v>671</v>
      </c>
      <c r="AR16" s="25">
        <v>5.0</v>
      </c>
      <c r="AT16" s="36" t="s">
        <v>672</v>
      </c>
      <c r="AU16" s="25">
        <v>4.0</v>
      </c>
      <c r="AV16" s="36" t="s">
        <v>673</v>
      </c>
      <c r="AW16" s="25">
        <v>2.0</v>
      </c>
      <c r="AX16" s="36" t="s">
        <v>674</v>
      </c>
      <c r="AY16" s="25">
        <v>3.0</v>
      </c>
      <c r="AZ16" s="36" t="s">
        <v>675</v>
      </c>
      <c r="BA16" s="25">
        <v>5.0</v>
      </c>
      <c r="BC16" s="36" t="s">
        <v>676</v>
      </c>
      <c r="BD16" s="25">
        <v>4.0</v>
      </c>
      <c r="BE16" s="36" t="s">
        <v>677</v>
      </c>
      <c r="BF16" s="25">
        <v>4.0</v>
      </c>
      <c r="BG16" s="36" t="s">
        <v>678</v>
      </c>
      <c r="BH16" s="25">
        <v>5.0</v>
      </c>
      <c r="BI16" s="36" t="s">
        <v>679</v>
      </c>
      <c r="BJ16" s="25">
        <v>4.0</v>
      </c>
      <c r="BL16" s="36" t="s">
        <v>680</v>
      </c>
      <c r="BM16" s="25">
        <v>3.0</v>
      </c>
      <c r="BN16" s="36" t="s">
        <v>681</v>
      </c>
      <c r="BO16" s="25">
        <v>4.0</v>
      </c>
      <c r="BP16" s="36" t="s">
        <v>682</v>
      </c>
      <c r="BQ16" s="25">
        <v>5.0</v>
      </c>
      <c r="BR16" s="36" t="s">
        <v>683</v>
      </c>
      <c r="BS16" s="25">
        <v>4.0</v>
      </c>
      <c r="BU16" s="36" t="s">
        <v>684</v>
      </c>
      <c r="BV16" s="25">
        <v>4.0</v>
      </c>
      <c r="BW16" s="36" t="s">
        <v>685</v>
      </c>
      <c r="BX16" s="25">
        <v>4.0</v>
      </c>
      <c r="BY16" s="36" t="s">
        <v>686</v>
      </c>
      <c r="BZ16" s="25">
        <v>5.0</v>
      </c>
      <c r="CA16" s="36" t="s">
        <v>687</v>
      </c>
      <c r="CB16" s="25">
        <v>5.0</v>
      </c>
      <c r="CD16" s="36" t="s">
        <v>688</v>
      </c>
      <c r="CE16" s="25">
        <v>6.0</v>
      </c>
      <c r="CF16" s="36" t="s">
        <v>689</v>
      </c>
      <c r="CG16" s="25">
        <v>5.0</v>
      </c>
      <c r="CH16" s="36" t="s">
        <v>690</v>
      </c>
      <c r="CI16" s="25">
        <v>5.0</v>
      </c>
      <c r="CJ16" s="36" t="s">
        <v>691</v>
      </c>
      <c r="CK16" s="25">
        <v>5.0</v>
      </c>
      <c r="CM16" s="36" t="s">
        <v>692</v>
      </c>
      <c r="CN16" s="25">
        <v>4.0</v>
      </c>
      <c r="CO16" s="36" t="s">
        <v>693</v>
      </c>
      <c r="CP16" s="25">
        <v>4.0</v>
      </c>
      <c r="CQ16" s="36" t="s">
        <v>694</v>
      </c>
      <c r="CR16" s="25">
        <v>3.0</v>
      </c>
      <c r="CS16" s="36" t="s">
        <v>695</v>
      </c>
      <c r="CT16" s="25">
        <v>4.0</v>
      </c>
      <c r="CV16" s="36" t="s">
        <v>696</v>
      </c>
      <c r="CW16" s="25">
        <v>4.0</v>
      </c>
      <c r="CX16" s="36" t="s">
        <v>697</v>
      </c>
      <c r="CY16" s="25">
        <v>3.0</v>
      </c>
      <c r="CZ16" s="36" t="s">
        <v>698</v>
      </c>
      <c r="DA16" s="25">
        <v>3.0</v>
      </c>
      <c r="DB16" s="36" t="s">
        <v>699</v>
      </c>
      <c r="DC16" s="25">
        <v>6.0</v>
      </c>
      <c r="DE16" s="33" t="s">
        <v>700</v>
      </c>
      <c r="DF16" s="34">
        <v>8.0</v>
      </c>
      <c r="DG16" s="35"/>
      <c r="DH16" s="35"/>
      <c r="DI16" s="35"/>
      <c r="DJ16" s="35"/>
    </row>
    <row r="17">
      <c r="A17" s="27" t="s">
        <v>701</v>
      </c>
      <c r="B17" s="25">
        <v>2.0</v>
      </c>
      <c r="C17" s="27" t="s">
        <v>702</v>
      </c>
      <c r="D17" s="25">
        <v>12.0</v>
      </c>
      <c r="E17" s="27" t="s">
        <v>703</v>
      </c>
      <c r="F17" s="25">
        <v>3.0</v>
      </c>
      <c r="G17" s="27" t="s">
        <v>704</v>
      </c>
      <c r="H17" s="25">
        <v>2.0</v>
      </c>
      <c r="J17" s="27" t="s">
        <v>705</v>
      </c>
      <c r="K17" s="25">
        <v>7.0</v>
      </c>
      <c r="L17" s="27" t="s">
        <v>706</v>
      </c>
      <c r="M17" s="25">
        <v>4.0</v>
      </c>
      <c r="N17" s="27" t="s">
        <v>707</v>
      </c>
      <c r="O17" s="25">
        <v>12.0</v>
      </c>
      <c r="P17" s="27" t="s">
        <v>708</v>
      </c>
      <c r="Q17" s="25">
        <v>4.0</v>
      </c>
      <c r="S17" s="32" t="s">
        <v>709</v>
      </c>
      <c r="T17" s="25">
        <v>5.0</v>
      </c>
      <c r="U17" s="29" t="s">
        <v>710</v>
      </c>
      <c r="V17" s="25">
        <v>5.0</v>
      </c>
      <c r="W17" s="27" t="s">
        <v>711</v>
      </c>
      <c r="X17" s="25">
        <v>5.0</v>
      </c>
      <c r="Y17" s="27" t="s">
        <v>712</v>
      </c>
      <c r="Z17" s="25">
        <v>6.0</v>
      </c>
      <c r="AB17" s="27" t="s">
        <v>713</v>
      </c>
      <c r="AC17" s="25">
        <v>6.0</v>
      </c>
      <c r="AD17" s="27" t="s">
        <v>714</v>
      </c>
      <c r="AE17" s="25">
        <v>1.0</v>
      </c>
      <c r="AF17" s="27" t="s">
        <v>715</v>
      </c>
      <c r="AG17" s="25">
        <v>3.0</v>
      </c>
      <c r="AH17" s="27" t="s">
        <v>716</v>
      </c>
      <c r="AI17" s="25">
        <v>3.0</v>
      </c>
      <c r="AK17" s="27" t="s">
        <v>717</v>
      </c>
      <c r="AL17" s="25">
        <v>4.0</v>
      </c>
      <c r="AM17" s="27" t="s">
        <v>718</v>
      </c>
      <c r="AN17" s="25">
        <v>4.0</v>
      </c>
      <c r="AO17" s="27" t="s">
        <v>719</v>
      </c>
      <c r="AP17" s="25">
        <v>7.0</v>
      </c>
      <c r="AQ17" s="27" t="s">
        <v>720</v>
      </c>
      <c r="AR17" s="25">
        <v>6.0</v>
      </c>
      <c r="AT17" s="27" t="s">
        <v>721</v>
      </c>
      <c r="AU17" s="25">
        <v>7.0</v>
      </c>
      <c r="AV17" s="27" t="s">
        <v>722</v>
      </c>
      <c r="AW17" s="25">
        <v>2.0</v>
      </c>
      <c r="AX17" s="27" t="s">
        <v>723</v>
      </c>
      <c r="AY17" s="25">
        <v>4.0</v>
      </c>
      <c r="AZ17" s="27" t="s">
        <v>724</v>
      </c>
      <c r="BA17" s="25">
        <v>6.0</v>
      </c>
      <c r="BC17" s="27" t="s">
        <v>725</v>
      </c>
      <c r="BD17" s="25">
        <v>2.0</v>
      </c>
      <c r="BE17" s="27" t="s">
        <v>726</v>
      </c>
      <c r="BF17" s="25">
        <v>4.0</v>
      </c>
      <c r="BG17" s="27" t="s">
        <v>727</v>
      </c>
      <c r="BH17" s="25">
        <v>3.0</v>
      </c>
      <c r="BI17" s="27" t="s">
        <v>728</v>
      </c>
      <c r="BJ17" s="25">
        <v>3.0</v>
      </c>
      <c r="BL17" s="27" t="s">
        <v>729</v>
      </c>
      <c r="BM17" s="25">
        <v>6.0</v>
      </c>
      <c r="BN17" s="27" t="s">
        <v>730</v>
      </c>
      <c r="BO17" s="25">
        <v>5.0</v>
      </c>
      <c r="BP17" s="27" t="s">
        <v>731</v>
      </c>
      <c r="BQ17" s="25">
        <v>2.0</v>
      </c>
      <c r="BR17" s="27" t="s">
        <v>732</v>
      </c>
      <c r="BS17" s="25">
        <v>5.0</v>
      </c>
      <c r="BU17" s="27" t="s">
        <v>733</v>
      </c>
      <c r="BV17" s="25">
        <v>7.0</v>
      </c>
      <c r="BW17" s="27" t="s">
        <v>734</v>
      </c>
      <c r="BX17" s="25">
        <v>3.0</v>
      </c>
      <c r="BY17" s="27" t="s">
        <v>735</v>
      </c>
      <c r="BZ17" s="25">
        <v>3.0</v>
      </c>
      <c r="CA17" s="27" t="s">
        <v>736</v>
      </c>
      <c r="CB17" s="25">
        <v>2.0</v>
      </c>
      <c r="CD17" s="27" t="s">
        <v>737</v>
      </c>
      <c r="CE17" s="25">
        <v>9.0</v>
      </c>
      <c r="CF17" s="27" t="s">
        <v>738</v>
      </c>
      <c r="CG17" s="25">
        <v>6.0</v>
      </c>
      <c r="CH17" s="27" t="s">
        <v>739</v>
      </c>
      <c r="CI17" s="25">
        <v>7.0</v>
      </c>
      <c r="CJ17" s="27" t="s">
        <v>740</v>
      </c>
      <c r="CK17" s="25">
        <v>6.0</v>
      </c>
      <c r="CM17" s="27" t="s">
        <v>741</v>
      </c>
      <c r="CN17" s="25">
        <v>6.0</v>
      </c>
      <c r="CO17" s="27" t="s">
        <v>742</v>
      </c>
      <c r="CP17" s="25">
        <v>3.0</v>
      </c>
      <c r="CQ17" s="27" t="s">
        <v>743</v>
      </c>
      <c r="CR17" s="25">
        <v>5.0</v>
      </c>
      <c r="CS17" s="27" t="s">
        <v>744</v>
      </c>
      <c r="CT17" s="25">
        <v>3.0</v>
      </c>
      <c r="CV17" s="27" t="s">
        <v>745</v>
      </c>
      <c r="CW17" s="25">
        <v>6.0</v>
      </c>
      <c r="CX17" s="27" t="s">
        <v>746</v>
      </c>
      <c r="CY17" s="25">
        <v>4.0</v>
      </c>
      <c r="CZ17" s="27" t="s">
        <v>747</v>
      </c>
      <c r="DA17" s="25">
        <v>6.0</v>
      </c>
      <c r="DB17" s="27" t="s">
        <v>748</v>
      </c>
      <c r="DC17" s="25">
        <v>7.0</v>
      </c>
      <c r="DE17" s="33" t="s">
        <v>749</v>
      </c>
      <c r="DF17" s="34">
        <v>7.0</v>
      </c>
      <c r="DG17" s="35"/>
      <c r="DH17" s="35"/>
      <c r="DI17" s="35"/>
      <c r="DJ17" s="35"/>
    </row>
    <row r="18">
      <c r="A18" s="27" t="s">
        <v>750</v>
      </c>
      <c r="B18" s="25">
        <v>6.0</v>
      </c>
      <c r="C18" s="27" t="s">
        <v>751</v>
      </c>
      <c r="D18" s="25">
        <v>6.0</v>
      </c>
      <c r="E18" s="27" t="s">
        <v>752</v>
      </c>
      <c r="F18" s="25">
        <v>5.0</v>
      </c>
      <c r="G18" s="27" t="s">
        <v>753</v>
      </c>
      <c r="H18" s="25">
        <v>3.0</v>
      </c>
      <c r="J18" s="27" t="s">
        <v>754</v>
      </c>
      <c r="K18" s="25">
        <v>4.0</v>
      </c>
      <c r="L18" s="27" t="s">
        <v>755</v>
      </c>
      <c r="M18" s="25">
        <v>7.0</v>
      </c>
      <c r="N18" s="27" t="s">
        <v>756</v>
      </c>
      <c r="O18" s="25">
        <v>3.0</v>
      </c>
      <c r="P18" s="27" t="s">
        <v>757</v>
      </c>
      <c r="Q18" s="25">
        <v>3.0</v>
      </c>
      <c r="S18" s="27" t="s">
        <v>758</v>
      </c>
      <c r="T18" s="25">
        <v>3.0</v>
      </c>
      <c r="U18" s="29" t="s">
        <v>759</v>
      </c>
      <c r="V18" s="25">
        <v>6.0</v>
      </c>
      <c r="W18" s="27" t="s">
        <v>760</v>
      </c>
      <c r="X18" s="25">
        <v>3.0</v>
      </c>
      <c r="Y18" s="27" t="s">
        <v>761</v>
      </c>
      <c r="Z18" s="25">
        <v>6.0</v>
      </c>
      <c r="AB18" s="27" t="s">
        <v>762</v>
      </c>
      <c r="AC18" s="25">
        <v>3.0</v>
      </c>
      <c r="AD18" s="27" t="s">
        <v>763</v>
      </c>
      <c r="AE18" s="25">
        <v>5.0</v>
      </c>
      <c r="AF18" s="27" t="s">
        <v>764</v>
      </c>
      <c r="AG18" s="25">
        <v>4.0</v>
      </c>
      <c r="AH18" s="27" t="s">
        <v>765</v>
      </c>
      <c r="AI18" s="25">
        <v>4.0</v>
      </c>
      <c r="AK18" s="27" t="s">
        <v>766</v>
      </c>
      <c r="AL18" s="25">
        <v>6.0</v>
      </c>
      <c r="AM18" s="27" t="s">
        <v>767</v>
      </c>
      <c r="AN18" s="25">
        <v>5.0</v>
      </c>
      <c r="AO18" s="27" t="s">
        <v>768</v>
      </c>
      <c r="AP18" s="25">
        <v>6.0</v>
      </c>
      <c r="AQ18" s="27" t="s">
        <v>769</v>
      </c>
      <c r="AR18" s="25">
        <v>7.0</v>
      </c>
      <c r="AT18" s="27" t="s">
        <v>770</v>
      </c>
      <c r="AU18" s="25">
        <v>4.0</v>
      </c>
      <c r="AV18" s="27" t="s">
        <v>771</v>
      </c>
      <c r="AW18" s="25">
        <v>6.0</v>
      </c>
      <c r="AX18" s="27" t="s">
        <v>772</v>
      </c>
      <c r="AY18" s="25">
        <v>3.0</v>
      </c>
      <c r="AZ18" s="27" t="s">
        <v>773</v>
      </c>
      <c r="BA18" s="25">
        <v>2.0</v>
      </c>
      <c r="BC18" s="27" t="s">
        <v>774</v>
      </c>
      <c r="BD18" s="25">
        <v>4.0</v>
      </c>
      <c r="BE18" s="27" t="s">
        <v>775</v>
      </c>
      <c r="BF18" s="25">
        <v>3.0</v>
      </c>
      <c r="BG18" s="27" t="s">
        <v>776</v>
      </c>
      <c r="BH18" s="25">
        <v>2.0</v>
      </c>
      <c r="BI18" s="27" t="s">
        <v>777</v>
      </c>
      <c r="BJ18" s="25">
        <v>6.0</v>
      </c>
      <c r="BL18" s="37" t="s">
        <v>778</v>
      </c>
      <c r="BM18" s="25">
        <v>3.0</v>
      </c>
      <c r="BN18" s="27" t="s">
        <v>779</v>
      </c>
      <c r="BO18" s="25">
        <v>0.0</v>
      </c>
      <c r="BP18" s="27" t="s">
        <v>780</v>
      </c>
      <c r="BQ18" s="25">
        <v>7.0</v>
      </c>
      <c r="BR18" s="27" t="s">
        <v>781</v>
      </c>
      <c r="BS18" s="25">
        <v>6.0</v>
      </c>
      <c r="BU18" s="32" t="s">
        <v>782</v>
      </c>
      <c r="BV18" s="25">
        <v>8.0</v>
      </c>
      <c r="BW18" s="27" t="s">
        <v>783</v>
      </c>
      <c r="BX18" s="25">
        <v>13.0</v>
      </c>
      <c r="BY18" s="27" t="s">
        <v>784</v>
      </c>
      <c r="BZ18" s="25">
        <v>7.0</v>
      </c>
      <c r="CA18" s="27" t="s">
        <v>785</v>
      </c>
      <c r="CB18" s="25">
        <v>3.0</v>
      </c>
      <c r="CD18" s="27" t="s">
        <v>786</v>
      </c>
      <c r="CE18" s="25">
        <v>4.0</v>
      </c>
      <c r="CF18" s="27" t="s">
        <v>787</v>
      </c>
      <c r="CG18" s="25">
        <v>5.0</v>
      </c>
      <c r="CH18" s="27" t="s">
        <v>788</v>
      </c>
      <c r="CI18" s="25">
        <v>1.0</v>
      </c>
      <c r="CJ18" s="27" t="s">
        <v>789</v>
      </c>
      <c r="CK18" s="25">
        <v>6.0</v>
      </c>
      <c r="CM18" s="38" t="s">
        <v>790</v>
      </c>
      <c r="CN18" s="25">
        <v>7.0</v>
      </c>
      <c r="CO18" s="27" t="s">
        <v>791</v>
      </c>
      <c r="CP18" s="25">
        <v>4.0</v>
      </c>
      <c r="CQ18" s="27" t="s">
        <v>792</v>
      </c>
      <c r="CR18" s="25">
        <v>5.0</v>
      </c>
      <c r="CS18" s="27" t="s">
        <v>793</v>
      </c>
      <c r="CT18" s="25">
        <v>4.0</v>
      </c>
      <c r="CV18" s="27" t="s">
        <v>794</v>
      </c>
      <c r="CW18" s="25">
        <v>3.0</v>
      </c>
      <c r="CX18" s="27" t="s">
        <v>795</v>
      </c>
      <c r="CY18" s="25"/>
      <c r="CZ18" s="27" t="s">
        <v>796</v>
      </c>
      <c r="DA18" s="25">
        <v>4.0</v>
      </c>
      <c r="DB18" s="27" t="s">
        <v>797</v>
      </c>
      <c r="DC18" s="25">
        <v>7.0</v>
      </c>
      <c r="DE18" s="33" t="s">
        <v>798</v>
      </c>
      <c r="DF18" s="34">
        <v>10.0</v>
      </c>
      <c r="DG18" s="35"/>
      <c r="DH18" s="35"/>
      <c r="DI18" s="35"/>
      <c r="DJ18" s="35"/>
    </row>
    <row r="19">
      <c r="A19" s="27" t="s">
        <v>799</v>
      </c>
      <c r="B19" s="25">
        <v>8.0</v>
      </c>
      <c r="C19" s="27" t="s">
        <v>800</v>
      </c>
      <c r="D19" s="25">
        <v>9.0</v>
      </c>
      <c r="E19" s="27" t="s">
        <v>801</v>
      </c>
      <c r="F19" s="25">
        <v>7.0</v>
      </c>
      <c r="G19" s="27" t="s">
        <v>802</v>
      </c>
      <c r="H19" s="25">
        <v>4.0</v>
      </c>
      <c r="J19" s="27" t="s">
        <v>803</v>
      </c>
      <c r="K19" s="25">
        <v>9.0</v>
      </c>
      <c r="L19" s="27" t="s">
        <v>804</v>
      </c>
      <c r="M19" s="25">
        <v>6.0</v>
      </c>
      <c r="N19" s="27" t="s">
        <v>805</v>
      </c>
      <c r="O19" s="25">
        <v>5.0</v>
      </c>
      <c r="P19" s="27" t="s">
        <v>806</v>
      </c>
      <c r="Q19" s="25">
        <v>1.0</v>
      </c>
      <c r="S19" s="27" t="s">
        <v>807</v>
      </c>
      <c r="T19" s="25">
        <v>4.0</v>
      </c>
      <c r="U19" s="29" t="s">
        <v>808</v>
      </c>
      <c r="V19" s="25">
        <v>3.0</v>
      </c>
      <c r="W19" s="27" t="s">
        <v>809</v>
      </c>
      <c r="X19" s="25">
        <v>0.0</v>
      </c>
      <c r="Y19" s="27" t="s">
        <v>810</v>
      </c>
      <c r="Z19" s="25">
        <v>8.0</v>
      </c>
      <c r="AB19" s="27" t="s">
        <v>811</v>
      </c>
      <c r="AC19" s="25">
        <v>3.0</v>
      </c>
      <c r="AD19" s="27" t="s">
        <v>812</v>
      </c>
      <c r="AE19" s="25">
        <v>3.0</v>
      </c>
      <c r="AF19" s="27" t="s">
        <v>813</v>
      </c>
      <c r="AG19" s="25">
        <v>8.0</v>
      </c>
      <c r="AH19" s="27" t="s">
        <v>814</v>
      </c>
      <c r="AI19" s="25">
        <v>4.0</v>
      </c>
      <c r="AK19" s="27" t="s">
        <v>815</v>
      </c>
      <c r="AL19" s="25">
        <v>5.0</v>
      </c>
      <c r="AM19" s="27" t="s">
        <v>816</v>
      </c>
      <c r="AN19" s="25">
        <v>5.0</v>
      </c>
      <c r="AO19" s="27" t="s">
        <v>817</v>
      </c>
      <c r="AP19" s="25">
        <v>3.0</v>
      </c>
      <c r="AQ19" s="27" t="s">
        <v>818</v>
      </c>
      <c r="AR19" s="25">
        <v>2.0</v>
      </c>
      <c r="AT19" s="27" t="s">
        <v>819</v>
      </c>
      <c r="AU19" s="25">
        <v>6.0</v>
      </c>
      <c r="AV19" s="27" t="s">
        <v>820</v>
      </c>
      <c r="AW19" s="25">
        <v>4.0</v>
      </c>
      <c r="AX19" s="27" t="s">
        <v>821</v>
      </c>
      <c r="AY19" s="25">
        <v>5.0</v>
      </c>
      <c r="AZ19" s="27" t="s">
        <v>822</v>
      </c>
      <c r="BA19" s="25">
        <v>2.0</v>
      </c>
      <c r="BC19" s="27" t="s">
        <v>823</v>
      </c>
      <c r="BD19" s="25">
        <v>3.0</v>
      </c>
      <c r="BE19" s="27" t="s">
        <v>824</v>
      </c>
      <c r="BF19" s="25">
        <v>2.0</v>
      </c>
      <c r="BG19" s="27" t="s">
        <v>825</v>
      </c>
      <c r="BH19" s="25">
        <v>4.0</v>
      </c>
      <c r="BI19" s="27" t="s">
        <v>826</v>
      </c>
      <c r="BJ19" s="25">
        <v>7.0</v>
      </c>
      <c r="BL19" s="27" t="s">
        <v>827</v>
      </c>
      <c r="BM19" s="25">
        <v>5.0</v>
      </c>
      <c r="BN19" s="27" t="s">
        <v>828</v>
      </c>
      <c r="BO19" s="25">
        <v>5.0</v>
      </c>
      <c r="BP19" s="27" t="s">
        <v>829</v>
      </c>
      <c r="BQ19" s="25">
        <v>2.0</v>
      </c>
      <c r="BR19" s="27" t="s">
        <v>830</v>
      </c>
      <c r="BS19" s="25">
        <v>9.0</v>
      </c>
      <c r="BU19" s="27" t="s">
        <v>831</v>
      </c>
      <c r="BV19" s="25">
        <v>4.0</v>
      </c>
      <c r="BW19" s="27" t="s">
        <v>832</v>
      </c>
      <c r="BX19" s="25">
        <v>9.0</v>
      </c>
      <c r="BY19" s="27" t="s">
        <v>833</v>
      </c>
      <c r="BZ19" s="25">
        <v>4.0</v>
      </c>
      <c r="CA19" s="27" t="s">
        <v>834</v>
      </c>
      <c r="CB19" s="25">
        <v>2.0</v>
      </c>
      <c r="CD19" s="27" t="s">
        <v>835</v>
      </c>
      <c r="CE19" s="25">
        <v>2.0</v>
      </c>
      <c r="CF19" s="27" t="s">
        <v>836</v>
      </c>
      <c r="CG19" s="25">
        <v>6.0</v>
      </c>
      <c r="CH19" s="27" t="s">
        <v>837</v>
      </c>
      <c r="CI19" s="25">
        <v>5.0</v>
      </c>
      <c r="CJ19" s="27" t="s">
        <v>838</v>
      </c>
      <c r="CK19" s="25">
        <v>2.0</v>
      </c>
      <c r="CM19" s="27" t="s">
        <v>839</v>
      </c>
      <c r="CN19" s="25">
        <v>7.0</v>
      </c>
      <c r="CO19" s="27" t="s">
        <v>840</v>
      </c>
      <c r="CP19" s="25">
        <v>4.0</v>
      </c>
      <c r="CQ19" s="27" t="s">
        <v>841</v>
      </c>
      <c r="CR19" s="25">
        <v>2.0</v>
      </c>
      <c r="CS19" s="27" t="s">
        <v>842</v>
      </c>
      <c r="CT19" s="25">
        <v>5.0</v>
      </c>
      <c r="CV19" s="27" t="s">
        <v>843</v>
      </c>
      <c r="CW19" s="25">
        <v>6.0</v>
      </c>
      <c r="CX19" s="27" t="s">
        <v>844</v>
      </c>
      <c r="CY19" s="25">
        <v>3.0</v>
      </c>
      <c r="CZ19" s="27" t="s">
        <v>845</v>
      </c>
      <c r="DA19" s="25">
        <v>2.0</v>
      </c>
      <c r="DB19" s="27" t="s">
        <v>846</v>
      </c>
      <c r="DC19" s="25">
        <v>6.0</v>
      </c>
      <c r="DE19" s="33" t="s">
        <v>847</v>
      </c>
      <c r="DF19" s="34">
        <v>9.0</v>
      </c>
      <c r="DG19" s="35"/>
      <c r="DH19" s="35"/>
      <c r="DI19" s="35"/>
      <c r="DJ19" s="35"/>
    </row>
    <row r="20">
      <c r="A20" s="27" t="s">
        <v>848</v>
      </c>
      <c r="B20" s="25">
        <v>5.0</v>
      </c>
      <c r="C20" s="27" t="s">
        <v>849</v>
      </c>
      <c r="D20" s="25">
        <v>3.0</v>
      </c>
      <c r="E20" s="27" t="s">
        <v>850</v>
      </c>
      <c r="F20" s="25">
        <v>19.0</v>
      </c>
      <c r="G20" s="27" t="s">
        <v>851</v>
      </c>
      <c r="H20" s="25">
        <v>4.0</v>
      </c>
      <c r="J20" s="27" t="s">
        <v>852</v>
      </c>
      <c r="K20" s="25">
        <v>3.0</v>
      </c>
      <c r="L20" s="27" t="s">
        <v>853</v>
      </c>
      <c r="M20" s="25">
        <v>3.0</v>
      </c>
      <c r="N20" s="27" t="s">
        <v>854</v>
      </c>
      <c r="O20" s="25">
        <v>5.0</v>
      </c>
      <c r="P20" s="27" t="s">
        <v>855</v>
      </c>
      <c r="Q20" s="25">
        <v>7.0</v>
      </c>
      <c r="S20" s="27" t="s">
        <v>856</v>
      </c>
      <c r="T20" s="25">
        <v>7.0</v>
      </c>
      <c r="U20" s="29" t="s">
        <v>857</v>
      </c>
      <c r="V20" s="25">
        <v>3.0</v>
      </c>
      <c r="W20" s="27" t="s">
        <v>858</v>
      </c>
      <c r="X20" s="25">
        <v>8.0</v>
      </c>
      <c r="Y20" s="27" t="s">
        <v>859</v>
      </c>
      <c r="Z20" s="25">
        <v>5.0</v>
      </c>
      <c r="AB20" s="27" t="s">
        <v>860</v>
      </c>
      <c r="AC20" s="25">
        <v>3.0</v>
      </c>
      <c r="AD20" s="27" t="s">
        <v>861</v>
      </c>
      <c r="AE20" s="25">
        <v>3.0</v>
      </c>
      <c r="AF20" s="27" t="s">
        <v>862</v>
      </c>
      <c r="AG20" s="25">
        <v>5.0</v>
      </c>
      <c r="AH20" s="27" t="s">
        <v>863</v>
      </c>
      <c r="AI20" s="25">
        <v>5.0</v>
      </c>
      <c r="AK20" s="27" t="s">
        <v>864</v>
      </c>
      <c r="AL20" s="25">
        <v>8.0</v>
      </c>
      <c r="AM20" s="27" t="s">
        <v>865</v>
      </c>
      <c r="AN20" s="25">
        <v>5.0</v>
      </c>
      <c r="AO20" s="27" t="s">
        <v>866</v>
      </c>
      <c r="AP20" s="25">
        <v>5.0</v>
      </c>
      <c r="AQ20" s="27" t="s">
        <v>867</v>
      </c>
      <c r="AR20" s="25">
        <v>5.0</v>
      </c>
      <c r="AT20" s="27" t="s">
        <v>868</v>
      </c>
      <c r="AU20" s="25">
        <v>1.0</v>
      </c>
      <c r="AV20" s="27" t="s">
        <v>869</v>
      </c>
      <c r="AW20" s="25">
        <v>5.0</v>
      </c>
      <c r="AX20" s="27" t="s">
        <v>870</v>
      </c>
      <c r="AY20" s="25">
        <v>4.0</v>
      </c>
      <c r="AZ20" s="27" t="s">
        <v>871</v>
      </c>
      <c r="BA20" s="25">
        <v>5.0</v>
      </c>
      <c r="BC20" s="27" t="s">
        <v>872</v>
      </c>
      <c r="BD20" s="25">
        <v>6.0</v>
      </c>
      <c r="BE20" s="27" t="s">
        <v>873</v>
      </c>
      <c r="BF20" s="25">
        <v>8.0</v>
      </c>
      <c r="BG20" s="27" t="s">
        <v>874</v>
      </c>
      <c r="BH20" s="25">
        <v>2.0</v>
      </c>
      <c r="BI20" s="27" t="s">
        <v>875</v>
      </c>
      <c r="BJ20" s="25">
        <v>5.0</v>
      </c>
      <c r="BL20" s="27" t="s">
        <v>876</v>
      </c>
      <c r="BM20" s="25">
        <v>5.0</v>
      </c>
      <c r="BN20" s="27" t="s">
        <v>877</v>
      </c>
      <c r="BO20" s="25">
        <v>6.0</v>
      </c>
      <c r="BP20" s="27" t="s">
        <v>878</v>
      </c>
      <c r="BQ20" s="25">
        <v>3.0</v>
      </c>
      <c r="BR20" s="27" t="s">
        <v>879</v>
      </c>
      <c r="BS20" s="25">
        <v>5.0</v>
      </c>
      <c r="BU20" s="27" t="s">
        <v>880</v>
      </c>
      <c r="BV20" s="25">
        <v>7.0</v>
      </c>
      <c r="BW20" s="27" t="s">
        <v>881</v>
      </c>
      <c r="BX20" s="25">
        <v>3.0</v>
      </c>
      <c r="BY20" s="27" t="s">
        <v>882</v>
      </c>
      <c r="BZ20" s="25">
        <v>4.0</v>
      </c>
      <c r="CA20" s="27" t="s">
        <v>883</v>
      </c>
      <c r="CB20" s="25">
        <v>4.0</v>
      </c>
      <c r="CD20" s="38" t="s">
        <v>884</v>
      </c>
      <c r="CE20" s="25">
        <v>5.0</v>
      </c>
      <c r="CF20" s="27" t="s">
        <v>885</v>
      </c>
      <c r="CG20" s="25">
        <v>3.0</v>
      </c>
      <c r="CH20" s="27" t="s">
        <v>886</v>
      </c>
      <c r="CI20" s="25">
        <v>5.0</v>
      </c>
      <c r="CJ20" s="27" t="s">
        <v>887</v>
      </c>
      <c r="CK20" s="25">
        <v>3.0</v>
      </c>
      <c r="CM20" s="27" t="s">
        <v>888</v>
      </c>
      <c r="CN20" s="25">
        <v>3.0</v>
      </c>
      <c r="CO20" s="27" t="s">
        <v>889</v>
      </c>
      <c r="CP20" s="25">
        <v>3.0</v>
      </c>
      <c r="CQ20" s="27" t="s">
        <v>890</v>
      </c>
      <c r="CR20" s="25">
        <v>3.0</v>
      </c>
      <c r="CS20" s="27" t="s">
        <v>891</v>
      </c>
      <c r="CT20" s="25">
        <v>5.0</v>
      </c>
      <c r="CV20" s="27" t="s">
        <v>892</v>
      </c>
      <c r="CW20" s="25">
        <v>2.0</v>
      </c>
      <c r="CX20" s="27" t="s">
        <v>893</v>
      </c>
      <c r="CY20" s="25">
        <v>6.0</v>
      </c>
      <c r="CZ20" s="27" t="s">
        <v>894</v>
      </c>
      <c r="DA20" s="25">
        <v>6.0</v>
      </c>
      <c r="DB20" s="27" t="s">
        <v>895</v>
      </c>
      <c r="DC20" s="25">
        <v>7.0</v>
      </c>
      <c r="DE20" s="33" t="s">
        <v>896</v>
      </c>
      <c r="DF20" s="34">
        <v>5.0</v>
      </c>
      <c r="DG20" s="35"/>
      <c r="DH20" s="35"/>
      <c r="DI20" s="35"/>
      <c r="DJ20" s="35"/>
    </row>
    <row r="21">
      <c r="A21" s="27" t="s">
        <v>897</v>
      </c>
      <c r="B21" s="25">
        <v>8.0</v>
      </c>
      <c r="C21" s="27" t="s">
        <v>898</v>
      </c>
      <c r="D21" s="25">
        <v>4.0</v>
      </c>
      <c r="E21" s="27" t="s">
        <v>899</v>
      </c>
      <c r="F21" s="25">
        <v>3.0</v>
      </c>
      <c r="G21" s="27" t="s">
        <v>900</v>
      </c>
      <c r="H21" s="25">
        <v>4.0</v>
      </c>
      <c r="J21" s="27" t="s">
        <v>901</v>
      </c>
      <c r="K21" s="25">
        <v>3.0</v>
      </c>
      <c r="L21" s="27" t="s">
        <v>902</v>
      </c>
      <c r="M21" s="25">
        <v>3.0</v>
      </c>
      <c r="N21" s="27" t="s">
        <v>903</v>
      </c>
      <c r="O21" s="25">
        <v>6.0</v>
      </c>
      <c r="P21" s="27" t="s">
        <v>904</v>
      </c>
      <c r="Q21" s="25">
        <v>4.0</v>
      </c>
      <c r="S21" s="27" t="s">
        <v>905</v>
      </c>
      <c r="T21" s="25">
        <v>5.0</v>
      </c>
      <c r="U21" s="29" t="s">
        <v>906</v>
      </c>
      <c r="V21" s="25">
        <v>4.0</v>
      </c>
      <c r="W21" s="27" t="s">
        <v>907</v>
      </c>
      <c r="X21" s="25">
        <v>5.0</v>
      </c>
      <c r="Y21" s="27" t="s">
        <v>908</v>
      </c>
      <c r="Z21" s="25">
        <v>5.0</v>
      </c>
      <c r="AB21" s="27" t="s">
        <v>909</v>
      </c>
      <c r="AC21" s="25">
        <v>5.0</v>
      </c>
      <c r="AD21" s="27" t="s">
        <v>910</v>
      </c>
      <c r="AE21" s="25">
        <v>6.0</v>
      </c>
      <c r="AF21" s="27" t="s">
        <v>911</v>
      </c>
      <c r="AG21" s="25">
        <v>5.0</v>
      </c>
      <c r="AH21" s="27" t="s">
        <v>912</v>
      </c>
      <c r="AI21" s="25">
        <v>3.0</v>
      </c>
      <c r="AK21" s="27" t="s">
        <v>913</v>
      </c>
      <c r="AL21" s="25">
        <v>4.0</v>
      </c>
      <c r="AM21" s="27" t="s">
        <v>914</v>
      </c>
      <c r="AN21" s="25">
        <v>5.0</v>
      </c>
      <c r="AO21" s="27" t="s">
        <v>915</v>
      </c>
      <c r="AP21" s="25">
        <v>9.0</v>
      </c>
      <c r="AQ21" s="27" t="s">
        <v>916</v>
      </c>
      <c r="AR21" s="25">
        <v>5.0</v>
      </c>
      <c r="AT21" s="27" t="s">
        <v>917</v>
      </c>
      <c r="AU21" s="25">
        <v>2.0</v>
      </c>
      <c r="AV21" s="27" t="s">
        <v>918</v>
      </c>
      <c r="AW21" s="25">
        <v>2.0</v>
      </c>
      <c r="AX21" s="27" t="s">
        <v>919</v>
      </c>
      <c r="AY21" s="25">
        <v>2.0</v>
      </c>
      <c r="AZ21" s="27" t="s">
        <v>920</v>
      </c>
      <c r="BA21" s="25">
        <v>4.0</v>
      </c>
      <c r="BC21" s="27" t="s">
        <v>921</v>
      </c>
      <c r="BD21" s="25">
        <v>1.0</v>
      </c>
      <c r="BE21" s="27" t="s">
        <v>922</v>
      </c>
      <c r="BF21" s="25">
        <v>4.0</v>
      </c>
      <c r="BG21" s="27" t="s">
        <v>923</v>
      </c>
      <c r="BH21" s="25">
        <v>4.0</v>
      </c>
      <c r="BI21" s="27" t="s">
        <v>924</v>
      </c>
      <c r="BJ21" s="25">
        <v>4.0</v>
      </c>
      <c r="BL21" s="27" t="s">
        <v>925</v>
      </c>
      <c r="BM21" s="25">
        <v>7.0</v>
      </c>
      <c r="BN21" s="27" t="s">
        <v>926</v>
      </c>
      <c r="BO21" s="25">
        <v>5.0</v>
      </c>
      <c r="BP21" s="27" t="s">
        <v>927</v>
      </c>
      <c r="BQ21" s="25">
        <v>3.0</v>
      </c>
      <c r="BR21" s="27" t="s">
        <v>928</v>
      </c>
      <c r="BS21" s="25">
        <v>3.0</v>
      </c>
      <c r="BU21" s="27" t="s">
        <v>929</v>
      </c>
      <c r="BV21" s="25">
        <v>5.0</v>
      </c>
      <c r="BW21" s="27" t="s">
        <v>930</v>
      </c>
      <c r="BX21" s="25">
        <v>7.0</v>
      </c>
      <c r="BY21" s="27" t="s">
        <v>931</v>
      </c>
      <c r="BZ21" s="25">
        <v>5.0</v>
      </c>
      <c r="CA21" s="27" t="s">
        <v>932</v>
      </c>
      <c r="CB21" s="25">
        <v>2.0</v>
      </c>
      <c r="CD21" s="27" t="s">
        <v>933</v>
      </c>
      <c r="CE21" s="25">
        <v>10.0</v>
      </c>
      <c r="CF21" s="27" t="s">
        <v>934</v>
      </c>
      <c r="CG21" s="25">
        <v>6.0</v>
      </c>
      <c r="CH21" s="27" t="s">
        <v>935</v>
      </c>
      <c r="CI21" s="25">
        <v>4.0</v>
      </c>
      <c r="CJ21" s="27" t="s">
        <v>936</v>
      </c>
      <c r="CK21" s="25">
        <v>6.0</v>
      </c>
      <c r="CM21" s="27" t="s">
        <v>937</v>
      </c>
      <c r="CN21" s="25">
        <v>6.0</v>
      </c>
      <c r="CO21" s="27" t="s">
        <v>938</v>
      </c>
      <c r="CP21" s="25">
        <v>4.0</v>
      </c>
      <c r="CQ21" s="27" t="s">
        <v>939</v>
      </c>
      <c r="CR21" s="25">
        <v>4.0</v>
      </c>
      <c r="CS21" s="27" t="s">
        <v>940</v>
      </c>
      <c r="CT21" s="25">
        <v>3.0</v>
      </c>
      <c r="CV21" s="27" t="s">
        <v>941</v>
      </c>
      <c r="CW21" s="25">
        <v>4.0</v>
      </c>
      <c r="CX21" s="27" t="s">
        <v>942</v>
      </c>
      <c r="CY21" s="25">
        <v>3.0</v>
      </c>
      <c r="CZ21" s="27" t="s">
        <v>943</v>
      </c>
      <c r="DA21" s="25">
        <v>5.0</v>
      </c>
      <c r="DB21" s="27" t="s">
        <v>944</v>
      </c>
      <c r="DC21" s="25">
        <v>3.0</v>
      </c>
      <c r="DE21" s="33" t="s">
        <v>945</v>
      </c>
      <c r="DF21" s="34">
        <v>1.0</v>
      </c>
      <c r="DG21" s="35"/>
      <c r="DH21" s="35"/>
      <c r="DI21" s="35"/>
      <c r="DJ21" s="35"/>
    </row>
    <row r="22">
      <c r="A22" s="27" t="s">
        <v>946</v>
      </c>
      <c r="B22" s="25">
        <v>5.0</v>
      </c>
      <c r="C22" s="27" t="s">
        <v>947</v>
      </c>
      <c r="D22" s="25">
        <v>13.0</v>
      </c>
      <c r="E22" s="27" t="s">
        <v>948</v>
      </c>
      <c r="F22" s="25">
        <v>4.0</v>
      </c>
      <c r="G22" s="27" t="s">
        <v>949</v>
      </c>
      <c r="H22" s="25">
        <v>5.0</v>
      </c>
      <c r="J22" s="27" t="s">
        <v>950</v>
      </c>
      <c r="K22" s="39">
        <v>3.0</v>
      </c>
      <c r="L22" s="27" t="s">
        <v>951</v>
      </c>
      <c r="M22" s="39">
        <v>3.0</v>
      </c>
      <c r="N22" s="27" t="s">
        <v>952</v>
      </c>
      <c r="O22" s="39">
        <v>2.0</v>
      </c>
      <c r="P22" s="27" t="s">
        <v>953</v>
      </c>
      <c r="Q22" s="39">
        <v>1.0</v>
      </c>
      <c r="S22" s="32" t="s">
        <v>954</v>
      </c>
      <c r="T22" s="25">
        <v>2.0</v>
      </c>
      <c r="U22" s="29" t="s">
        <v>955</v>
      </c>
      <c r="V22" s="25">
        <v>7.0</v>
      </c>
      <c r="W22" s="27" t="s">
        <v>956</v>
      </c>
      <c r="X22" s="25">
        <v>4.0</v>
      </c>
      <c r="Y22" s="27" t="s">
        <v>957</v>
      </c>
      <c r="Z22" s="25">
        <v>8.0</v>
      </c>
      <c r="AB22" s="27" t="s">
        <v>958</v>
      </c>
      <c r="AC22" s="25">
        <v>6.0</v>
      </c>
      <c r="AD22" s="27" t="s">
        <v>959</v>
      </c>
      <c r="AE22" s="25">
        <v>3.0</v>
      </c>
      <c r="AF22" s="27" t="s">
        <v>960</v>
      </c>
      <c r="AG22" s="25">
        <v>3.0</v>
      </c>
      <c r="AH22" s="27" t="s">
        <v>961</v>
      </c>
      <c r="AI22" s="25">
        <v>5.0</v>
      </c>
      <c r="AK22" s="27" t="s">
        <v>962</v>
      </c>
      <c r="AL22" s="25">
        <v>6.0</v>
      </c>
      <c r="AM22" s="27" t="s">
        <v>963</v>
      </c>
      <c r="AN22" s="25">
        <v>4.0</v>
      </c>
      <c r="AO22" s="27" t="s">
        <v>964</v>
      </c>
      <c r="AP22" s="25">
        <v>7.0</v>
      </c>
      <c r="AQ22" s="27" t="s">
        <v>965</v>
      </c>
      <c r="AR22" s="25">
        <v>6.0</v>
      </c>
      <c r="AT22" s="27" t="s">
        <v>966</v>
      </c>
      <c r="AU22" s="25">
        <v>2.0</v>
      </c>
      <c r="AV22" s="27" t="s">
        <v>967</v>
      </c>
      <c r="AW22" s="25">
        <v>3.0</v>
      </c>
      <c r="AX22" s="27" t="s">
        <v>968</v>
      </c>
      <c r="AY22" s="25">
        <v>3.0</v>
      </c>
      <c r="AZ22" s="27" t="s">
        <v>969</v>
      </c>
      <c r="BA22" s="25">
        <v>3.0</v>
      </c>
      <c r="BC22" s="27" t="s">
        <v>970</v>
      </c>
      <c r="BD22" s="25">
        <v>5.0</v>
      </c>
      <c r="BE22" s="27" t="s">
        <v>971</v>
      </c>
      <c r="BF22" s="25">
        <v>2.0</v>
      </c>
      <c r="BG22" s="27" t="s">
        <v>972</v>
      </c>
      <c r="BH22" s="25">
        <v>3.0</v>
      </c>
      <c r="BI22" s="27" t="s">
        <v>973</v>
      </c>
      <c r="BJ22" s="25">
        <v>6.0</v>
      </c>
      <c r="BL22" s="27" t="s">
        <v>974</v>
      </c>
      <c r="BM22" s="25">
        <v>5.0</v>
      </c>
      <c r="BN22" s="27" t="s">
        <v>975</v>
      </c>
      <c r="BO22" s="25">
        <v>2.0</v>
      </c>
      <c r="BP22" s="27" t="s">
        <v>976</v>
      </c>
      <c r="BQ22" s="25">
        <v>8.0</v>
      </c>
      <c r="BR22" s="27" t="s">
        <v>977</v>
      </c>
      <c r="BS22" s="25">
        <v>7.0</v>
      </c>
      <c r="BU22" s="27" t="s">
        <v>978</v>
      </c>
      <c r="BV22" s="25">
        <v>9.0</v>
      </c>
      <c r="BW22" s="27" t="s">
        <v>979</v>
      </c>
      <c r="BX22" s="25">
        <v>15.0</v>
      </c>
      <c r="BY22" s="27" t="s">
        <v>980</v>
      </c>
      <c r="BZ22" s="25">
        <v>3.0</v>
      </c>
      <c r="CA22" s="27" t="s">
        <v>981</v>
      </c>
      <c r="CB22" s="25">
        <v>8.0</v>
      </c>
      <c r="CD22" s="32" t="s">
        <v>982</v>
      </c>
      <c r="CE22" s="25">
        <v>6.0</v>
      </c>
      <c r="CF22" s="27" t="s">
        <v>983</v>
      </c>
      <c r="CG22" s="25">
        <v>8.0</v>
      </c>
      <c r="CH22" s="27" t="s">
        <v>984</v>
      </c>
      <c r="CI22" s="25">
        <v>2.0</v>
      </c>
      <c r="CJ22" s="27" t="s">
        <v>985</v>
      </c>
      <c r="CK22" s="25">
        <v>6.0</v>
      </c>
      <c r="CM22" s="27" t="s">
        <v>986</v>
      </c>
      <c r="CN22" s="25">
        <v>5.0</v>
      </c>
      <c r="CO22" s="27" t="s">
        <v>987</v>
      </c>
      <c r="CP22" s="25">
        <v>2.0</v>
      </c>
      <c r="CQ22" s="27" t="s">
        <v>988</v>
      </c>
      <c r="CR22" s="25">
        <v>4.0</v>
      </c>
      <c r="CS22" s="27" t="s">
        <v>989</v>
      </c>
      <c r="CT22" s="25">
        <v>6.0</v>
      </c>
      <c r="CV22" s="27" t="s">
        <v>990</v>
      </c>
      <c r="CW22" s="25">
        <v>3.0</v>
      </c>
      <c r="CX22" s="27" t="s">
        <v>991</v>
      </c>
      <c r="CY22" s="25">
        <v>4.0</v>
      </c>
      <c r="CZ22" s="27" t="s">
        <v>992</v>
      </c>
      <c r="DA22" s="25">
        <v>8.0</v>
      </c>
      <c r="DB22" s="27" t="s">
        <v>993</v>
      </c>
      <c r="DC22" s="25">
        <v>7.0</v>
      </c>
      <c r="DE22" s="33" t="s">
        <v>994</v>
      </c>
      <c r="DF22" s="34">
        <v>7.0</v>
      </c>
      <c r="DG22" s="35"/>
      <c r="DH22" s="35"/>
      <c r="DI22" s="35"/>
      <c r="DJ22" s="35"/>
    </row>
    <row r="23">
      <c r="A23" s="27" t="s">
        <v>995</v>
      </c>
      <c r="B23" s="25">
        <v>7.0</v>
      </c>
      <c r="C23" s="27" t="s">
        <v>996</v>
      </c>
      <c r="D23" s="25">
        <v>16.0</v>
      </c>
      <c r="E23" s="27" t="s">
        <v>997</v>
      </c>
      <c r="F23" s="25">
        <v>5.0</v>
      </c>
      <c r="G23" s="27" t="s">
        <v>998</v>
      </c>
      <c r="H23" s="25">
        <v>5.0</v>
      </c>
      <c r="J23" s="27" t="s">
        <v>999</v>
      </c>
      <c r="K23" s="39">
        <v>9.0</v>
      </c>
      <c r="L23" s="27" t="s">
        <v>1000</v>
      </c>
      <c r="M23" s="39">
        <v>3.0</v>
      </c>
      <c r="N23" s="27" t="s">
        <v>1001</v>
      </c>
      <c r="O23" s="39">
        <v>4.0</v>
      </c>
      <c r="P23" s="27" t="s">
        <v>1002</v>
      </c>
      <c r="Q23" s="39">
        <v>2.0</v>
      </c>
      <c r="S23" s="27" t="s">
        <v>1003</v>
      </c>
      <c r="T23" s="25">
        <v>6.0</v>
      </c>
      <c r="U23" s="29" t="s">
        <v>1004</v>
      </c>
      <c r="V23" s="25">
        <v>2.0</v>
      </c>
      <c r="W23" s="27" t="s">
        <v>1005</v>
      </c>
      <c r="X23" s="25">
        <v>1.0</v>
      </c>
      <c r="Y23" s="27" t="s">
        <v>1006</v>
      </c>
      <c r="Z23" s="25">
        <v>7.0</v>
      </c>
      <c r="AB23" s="27" t="s">
        <v>1007</v>
      </c>
      <c r="AC23" s="25">
        <v>4.0</v>
      </c>
      <c r="AD23" s="27" t="s">
        <v>1008</v>
      </c>
      <c r="AE23" s="25">
        <v>5.0</v>
      </c>
      <c r="AF23" s="27" t="s">
        <v>1009</v>
      </c>
      <c r="AG23" s="25">
        <v>7.0</v>
      </c>
      <c r="AH23" s="27" t="s">
        <v>1010</v>
      </c>
      <c r="AI23" s="25">
        <v>5.0</v>
      </c>
      <c r="AK23" s="27" t="s">
        <v>1011</v>
      </c>
      <c r="AL23" s="25">
        <v>3.0</v>
      </c>
      <c r="AM23" s="27" t="s">
        <v>1012</v>
      </c>
      <c r="AN23" s="25">
        <v>4.0</v>
      </c>
      <c r="AO23" s="27" t="s">
        <v>1013</v>
      </c>
      <c r="AP23" s="25">
        <v>6.0</v>
      </c>
      <c r="AQ23" s="27" t="s">
        <v>1014</v>
      </c>
      <c r="AR23" s="25">
        <v>3.0</v>
      </c>
      <c r="AT23" s="27" t="s">
        <v>1015</v>
      </c>
      <c r="AU23" s="25">
        <v>3.0</v>
      </c>
      <c r="AV23" s="27" t="s">
        <v>1016</v>
      </c>
      <c r="AW23" s="25">
        <v>3.0</v>
      </c>
      <c r="AX23" s="27" t="s">
        <v>1017</v>
      </c>
      <c r="AY23" s="25">
        <v>1.0</v>
      </c>
      <c r="AZ23" s="27" t="s">
        <v>1018</v>
      </c>
      <c r="BA23" s="25">
        <v>3.0</v>
      </c>
      <c r="BC23" s="27" t="s">
        <v>1019</v>
      </c>
      <c r="BD23" s="25">
        <v>2.0</v>
      </c>
      <c r="BE23" s="27" t="s">
        <v>1020</v>
      </c>
      <c r="BF23" s="25">
        <v>3.0</v>
      </c>
      <c r="BG23" s="27" t="s">
        <v>1021</v>
      </c>
      <c r="BH23" s="25">
        <v>5.0</v>
      </c>
      <c r="BI23" s="27" t="s">
        <v>1022</v>
      </c>
      <c r="BJ23" s="25">
        <v>7.0</v>
      </c>
      <c r="BL23" s="27" t="s">
        <v>1023</v>
      </c>
      <c r="BM23" s="25">
        <v>2.0</v>
      </c>
      <c r="BN23" s="27" t="s">
        <v>1024</v>
      </c>
      <c r="BO23" s="25">
        <v>5.0</v>
      </c>
      <c r="BP23" s="27" t="s">
        <v>1025</v>
      </c>
      <c r="BQ23" s="25">
        <v>3.0</v>
      </c>
      <c r="BR23" s="27" t="s">
        <v>1026</v>
      </c>
      <c r="BS23" s="25">
        <v>7.0</v>
      </c>
      <c r="BU23" s="37" t="s">
        <v>1027</v>
      </c>
      <c r="BV23" s="25">
        <v>5.0</v>
      </c>
      <c r="BW23" s="27" t="s">
        <v>1028</v>
      </c>
      <c r="BX23" s="25">
        <v>9.0</v>
      </c>
      <c r="BY23" s="27" t="s">
        <v>1029</v>
      </c>
      <c r="BZ23" s="25">
        <v>4.0</v>
      </c>
      <c r="CA23" s="27" t="s">
        <v>1030</v>
      </c>
      <c r="CB23" s="25">
        <v>6.0</v>
      </c>
      <c r="CD23" s="27" t="s">
        <v>1031</v>
      </c>
      <c r="CE23" s="25">
        <v>2.0</v>
      </c>
      <c r="CF23" s="27" t="s">
        <v>1032</v>
      </c>
      <c r="CG23" s="25">
        <v>5.0</v>
      </c>
      <c r="CH23" s="27" t="s">
        <v>1033</v>
      </c>
      <c r="CI23" s="25">
        <v>4.0</v>
      </c>
      <c r="CJ23" s="27" t="s">
        <v>1034</v>
      </c>
      <c r="CK23" s="25">
        <v>4.0</v>
      </c>
      <c r="CM23" s="27" t="s">
        <v>1035</v>
      </c>
      <c r="CN23" s="25">
        <v>2.0</v>
      </c>
      <c r="CO23" s="27" t="s">
        <v>1036</v>
      </c>
      <c r="CP23" s="25">
        <v>2.0</v>
      </c>
      <c r="CQ23" s="27" t="s">
        <v>1037</v>
      </c>
      <c r="CR23" s="25">
        <v>4.0</v>
      </c>
      <c r="CS23" s="27" t="s">
        <v>1038</v>
      </c>
      <c r="CT23" s="25">
        <v>2.0</v>
      </c>
      <c r="CV23" s="27" t="s">
        <v>1039</v>
      </c>
      <c r="CW23" s="25">
        <v>6.0</v>
      </c>
      <c r="CX23" s="27" t="s">
        <v>1040</v>
      </c>
      <c r="CY23" s="25">
        <v>3.0</v>
      </c>
      <c r="CZ23" s="27" t="s">
        <v>1041</v>
      </c>
      <c r="DA23" s="25">
        <v>5.0</v>
      </c>
      <c r="DB23" s="27" t="s">
        <v>1042</v>
      </c>
      <c r="DC23" s="25">
        <v>6.0</v>
      </c>
      <c r="DE23" s="33" t="s">
        <v>1043</v>
      </c>
      <c r="DF23" s="34">
        <v>6.0</v>
      </c>
      <c r="DG23" s="35"/>
      <c r="DH23" s="35"/>
      <c r="DI23" s="35"/>
      <c r="DJ23" s="35"/>
    </row>
    <row r="24">
      <c r="A24" s="40" t="s">
        <v>1044</v>
      </c>
      <c r="B24" s="41">
        <f>SUM(B4:B23)</f>
        <v>94</v>
      </c>
      <c r="C24" s="42" t="s">
        <v>1044</v>
      </c>
      <c r="D24" s="41">
        <f>SUM(D4:D23)</f>
        <v>176</v>
      </c>
      <c r="E24" s="42" t="s">
        <v>1044</v>
      </c>
      <c r="F24" s="41">
        <f>SUM(F4:F23)</f>
        <v>98</v>
      </c>
      <c r="G24" s="42" t="s">
        <v>1044</v>
      </c>
      <c r="H24" s="41">
        <f>SUM(H4:H23)</f>
        <v>71</v>
      </c>
      <c r="J24" s="40" t="s">
        <v>1044</v>
      </c>
      <c r="K24" s="41">
        <f>SUM(K4:K23)</f>
        <v>106</v>
      </c>
      <c r="L24" s="42" t="s">
        <v>1044</v>
      </c>
      <c r="M24" s="41">
        <f>SUM(M4:M23)</f>
        <v>86</v>
      </c>
      <c r="N24" s="42" t="s">
        <v>1044</v>
      </c>
      <c r="O24" s="41">
        <f>SUM(O4:O23)</f>
        <v>113</v>
      </c>
      <c r="P24" s="42" t="s">
        <v>1044</v>
      </c>
      <c r="Q24" s="41">
        <f>SUM(Q4:Q23)</f>
        <v>89</v>
      </c>
      <c r="S24" s="40" t="s">
        <v>1044</v>
      </c>
      <c r="T24" s="41">
        <f>SUM(T4:T23)</f>
        <v>83</v>
      </c>
      <c r="U24" s="42" t="s">
        <v>1044</v>
      </c>
      <c r="V24" s="41">
        <f>SUM(V4:V23)</f>
        <v>97</v>
      </c>
      <c r="W24" s="42" t="s">
        <v>1044</v>
      </c>
      <c r="X24" s="41">
        <f>SUM(X4:X23)</f>
        <v>78</v>
      </c>
      <c r="Y24" s="42" t="s">
        <v>1044</v>
      </c>
      <c r="Z24" s="41">
        <f>SUM(Z4:Z23)</f>
        <v>146</v>
      </c>
      <c r="AB24" s="40" t="s">
        <v>1044</v>
      </c>
      <c r="AC24" s="41">
        <f>SUM(AC4:AC23)</f>
        <v>93</v>
      </c>
      <c r="AD24" s="42" t="s">
        <v>1044</v>
      </c>
      <c r="AE24" s="41">
        <f>SUM(AE4:AE23)</f>
        <v>78</v>
      </c>
      <c r="AF24" s="42" t="s">
        <v>1044</v>
      </c>
      <c r="AG24" s="41">
        <f>SUM(AG4:AG23)</f>
        <v>97</v>
      </c>
      <c r="AH24" s="42" t="s">
        <v>1044</v>
      </c>
      <c r="AI24" s="41">
        <f>SUM(AI4:AI23)</f>
        <v>75</v>
      </c>
      <c r="AK24" s="40" t="s">
        <v>1044</v>
      </c>
      <c r="AL24" s="41">
        <f>SUM(AL4:AL23)</f>
        <v>102</v>
      </c>
      <c r="AM24" s="42" t="s">
        <v>1044</v>
      </c>
      <c r="AN24" s="41">
        <f>SUM(AN4:AN23)</f>
        <v>99</v>
      </c>
      <c r="AO24" s="42" t="s">
        <v>1044</v>
      </c>
      <c r="AP24" s="41">
        <f>SUM(AP4:AP23)</f>
        <v>106</v>
      </c>
      <c r="AQ24" s="42" t="s">
        <v>1044</v>
      </c>
      <c r="AR24" s="41">
        <f>SUM(AR4:AR23)</f>
        <v>96</v>
      </c>
      <c r="AT24" s="40" t="s">
        <v>1044</v>
      </c>
      <c r="AU24" s="41">
        <f>SUM(AU4:AU23)</f>
        <v>107</v>
      </c>
      <c r="AV24" s="42" t="s">
        <v>1044</v>
      </c>
      <c r="AW24" s="41">
        <f>SUM(AW4:AW23)</f>
        <v>84</v>
      </c>
      <c r="AX24" s="42" t="s">
        <v>1044</v>
      </c>
      <c r="AY24" s="41">
        <f>SUM(AY4:AY23)</f>
        <v>78</v>
      </c>
      <c r="AZ24" s="42" t="s">
        <v>1044</v>
      </c>
      <c r="BA24" s="41">
        <f>SUM(BA4:BA23)</f>
        <v>79</v>
      </c>
      <c r="BC24" s="40" t="s">
        <v>1044</v>
      </c>
      <c r="BD24" s="41">
        <f>SUM(BD4:BD23)</f>
        <v>77</v>
      </c>
      <c r="BE24" s="42" t="s">
        <v>1044</v>
      </c>
      <c r="BF24" s="41">
        <f>SUM(BF4:BF23)</f>
        <v>88</v>
      </c>
      <c r="BG24" s="42" t="s">
        <v>1044</v>
      </c>
      <c r="BH24" s="41">
        <f>SUM(BH4:BH23)</f>
        <v>75</v>
      </c>
      <c r="BI24" s="42" t="s">
        <v>1044</v>
      </c>
      <c r="BJ24" s="41">
        <f>SUM(BJ4:BJ23)</f>
        <v>100</v>
      </c>
      <c r="BL24" s="40" t="s">
        <v>1044</v>
      </c>
      <c r="BM24" s="41">
        <f>SUM(BM4:BM23)</f>
        <v>89</v>
      </c>
      <c r="BN24" s="42" t="s">
        <v>1044</v>
      </c>
      <c r="BO24" s="41">
        <f>SUM(BO4:BO23)</f>
        <v>85</v>
      </c>
      <c r="BP24" s="42" t="s">
        <v>1044</v>
      </c>
      <c r="BQ24" s="41">
        <f>SUM(BQ4:BQ23)</f>
        <v>96</v>
      </c>
      <c r="BR24" s="42" t="s">
        <v>1044</v>
      </c>
      <c r="BS24" s="41">
        <f>SUM(BS4:BS23)</f>
        <v>100</v>
      </c>
      <c r="BU24" s="40" t="s">
        <v>1044</v>
      </c>
      <c r="BV24" s="41">
        <f>SUM(BV4:BV23)</f>
        <v>114</v>
      </c>
      <c r="BW24" s="42" t="s">
        <v>1044</v>
      </c>
      <c r="BX24" s="41">
        <f>SUM(BX4:BX23)</f>
        <v>145</v>
      </c>
      <c r="BY24" s="42" t="s">
        <v>1044</v>
      </c>
      <c r="BZ24" s="41">
        <f>SUM(BZ4:BZ23)</f>
        <v>87</v>
      </c>
      <c r="CA24" s="42" t="s">
        <v>1044</v>
      </c>
      <c r="CB24" s="41">
        <f>SUM(CB4:CB23)</f>
        <v>66</v>
      </c>
      <c r="CD24" s="40" t="s">
        <v>1044</v>
      </c>
      <c r="CE24" s="41">
        <f>SUM(CE4:CE23)</f>
        <v>107</v>
      </c>
      <c r="CF24" s="42" t="s">
        <v>1044</v>
      </c>
      <c r="CG24" s="41">
        <f>SUM(CG4:CG23)</f>
        <v>101</v>
      </c>
      <c r="CH24" s="42" t="s">
        <v>1044</v>
      </c>
      <c r="CI24" s="41">
        <f>SUM(CI4:CI23)</f>
        <v>83</v>
      </c>
      <c r="CJ24" s="42" t="s">
        <v>1044</v>
      </c>
      <c r="CK24" s="41">
        <f>SUM(CK4:CK23)</f>
        <v>84</v>
      </c>
      <c r="CM24" s="40" t="s">
        <v>1044</v>
      </c>
      <c r="CN24" s="41">
        <f>SUM(CN4:CN23)</f>
        <v>99</v>
      </c>
      <c r="CO24" s="42" t="s">
        <v>1044</v>
      </c>
      <c r="CP24" s="41">
        <f>SUM(CP4:CP23)</f>
        <v>66</v>
      </c>
      <c r="CQ24" s="42" t="s">
        <v>1044</v>
      </c>
      <c r="CR24" s="41">
        <f>SUM(CR4:CR23)</f>
        <v>88</v>
      </c>
      <c r="CS24" s="42" t="s">
        <v>1044</v>
      </c>
      <c r="CT24" s="41">
        <f>SUM(CT4:CT23)</f>
        <v>101</v>
      </c>
      <c r="CV24" s="40" t="s">
        <v>1044</v>
      </c>
      <c r="CW24" s="41">
        <f>SUM(CW4:CW23)</f>
        <v>79</v>
      </c>
      <c r="CX24" s="42" t="s">
        <v>1044</v>
      </c>
      <c r="CY24" s="41">
        <f>SUM(CY4:CY23)</f>
        <v>66</v>
      </c>
      <c r="CZ24" s="42" t="s">
        <v>1044</v>
      </c>
      <c r="DA24" s="41">
        <f>SUM(DA4:DA23)</f>
        <v>104</v>
      </c>
      <c r="DB24" s="42" t="s">
        <v>1044</v>
      </c>
      <c r="DC24" s="41">
        <f>SUM(DC4:DC23)</f>
        <v>111</v>
      </c>
      <c r="DE24" s="43" t="s">
        <v>1044</v>
      </c>
      <c r="DF24" s="41">
        <f>SUM(DF4:DF23)</f>
        <v>126</v>
      </c>
      <c r="DG24" s="44"/>
      <c r="DH24" s="44"/>
      <c r="DI24" s="44"/>
      <c r="DJ24" s="44"/>
    </row>
    <row r="26">
      <c r="DE26" s="45"/>
      <c r="DF26" s="46"/>
      <c r="DG26" s="46"/>
      <c r="DH26" s="46"/>
      <c r="DI26" s="46"/>
      <c r="DJ26" s="46"/>
    </row>
    <row r="27">
      <c r="A27" s="47" t="s">
        <v>1045</v>
      </c>
      <c r="B27" s="48">
        <f>sum(B24,D24,F24,H24,K24,M24,O24,Q24,S24,U24,W24,Y24,AB24,AD24,AF24,AH24,AL24,AN24,AP24,AR24,AU24,AW24,AY24,BA24,BD24,BF24,BH24,BJ24,BM24,BO24,BQ24,BS24,BV24,BX24,BZ24,CB24,CE24,CG24,CI24,CK24,CN24,CP24,CR24,CT24,CW24,CY24,DA24,DC24,DF24)</f>
        <v>3921</v>
      </c>
      <c r="AE27" s="47" t="s">
        <v>1046</v>
      </c>
      <c r="DE27" s="45"/>
      <c r="DF27" s="46"/>
      <c r="DG27" s="46"/>
      <c r="DH27" s="46"/>
      <c r="DI27" s="46"/>
      <c r="DJ27" s="46"/>
    </row>
    <row r="28">
      <c r="DE28" s="45"/>
      <c r="DF28" s="46"/>
      <c r="DG28" s="46"/>
      <c r="DH28" s="46"/>
      <c r="DI28" s="46"/>
      <c r="DJ28" s="46"/>
    </row>
    <row r="29">
      <c r="DE29" s="45"/>
      <c r="DF29" s="46"/>
      <c r="DG29" s="46"/>
      <c r="DH29" s="46"/>
      <c r="DI29" s="46"/>
      <c r="DJ29" s="46"/>
    </row>
    <row r="30">
      <c r="DE30" s="45"/>
      <c r="DF30" s="46"/>
      <c r="DG30" s="46"/>
      <c r="DH30" s="46"/>
      <c r="DI30" s="46"/>
      <c r="DJ30" s="46"/>
    </row>
    <row r="31">
      <c r="DE31" s="45"/>
      <c r="DF31" s="46"/>
      <c r="DG31" s="46"/>
      <c r="DH31" s="46"/>
      <c r="DI31" s="46"/>
      <c r="DJ31" s="46"/>
    </row>
    <row r="32">
      <c r="DE32" s="45"/>
      <c r="DF32" s="46"/>
      <c r="DG32" s="46"/>
      <c r="DH32" s="46"/>
      <c r="DI32" s="46"/>
      <c r="DJ32" s="46"/>
    </row>
    <row r="33">
      <c r="B33" s="49" t="s">
        <v>1047</v>
      </c>
      <c r="G33" s="49" t="s">
        <v>1048</v>
      </c>
      <c r="M33" s="47" t="s">
        <v>1049</v>
      </c>
      <c r="N33" s="47" t="s">
        <v>1050</v>
      </c>
      <c r="O33" s="47" t="s">
        <v>1051</v>
      </c>
      <c r="P33" s="47" t="s">
        <v>1052</v>
      </c>
      <c r="Q33" s="47" t="s">
        <v>1053</v>
      </c>
      <c r="DE33" s="45"/>
      <c r="DF33" s="46"/>
      <c r="DG33" s="46"/>
      <c r="DH33" s="46"/>
      <c r="DI33" s="46"/>
      <c r="DJ33" s="46"/>
    </row>
    <row r="34">
      <c r="B34" s="50" t="s">
        <v>1054</v>
      </c>
      <c r="C34" s="47">
        <v>3.0</v>
      </c>
      <c r="G34" s="51" t="s">
        <v>1055</v>
      </c>
      <c r="H34" s="51" t="s">
        <v>1056</v>
      </c>
      <c r="I34" s="52" t="s">
        <v>1051</v>
      </c>
      <c r="J34" s="51" t="s">
        <v>1057</v>
      </c>
      <c r="M34" s="47" t="s">
        <v>1058</v>
      </c>
      <c r="N34" s="47">
        <v>10.0</v>
      </c>
      <c r="O34" s="47">
        <v>563300.0</v>
      </c>
      <c r="P34" s="48">
        <f>N34*O34</f>
        <v>5633000</v>
      </c>
      <c r="Q34" s="48">
        <f>P34/2</f>
        <v>2816500</v>
      </c>
      <c r="DE34" s="45"/>
      <c r="DF34" s="46"/>
      <c r="DG34" s="46"/>
      <c r="DH34" s="46"/>
      <c r="DI34" s="46"/>
      <c r="DJ34" s="46"/>
    </row>
    <row r="35">
      <c r="B35" s="25" t="s">
        <v>1059</v>
      </c>
      <c r="C35" s="47">
        <v>4.0</v>
      </c>
      <c r="D35" s="47">
        <v>5.0</v>
      </c>
      <c r="G35" s="53" t="s">
        <v>1060</v>
      </c>
      <c r="H35" s="54">
        <f>((((sum(B4:B23, D4:D23, F4:F23, H4:H23, K4:K23, M4:M23, O4:O23, Q4:Q23, T4:T16, T18:T21, T23 , V4:V23, X4:X23, Z4:Z23, AC4:AC23, AE4:AE23, AG4:AG23, AI4:AI23, AL4:AL23, AN4:AN23, AP4:AP23, AR4:AR23, AU4:AU23, AW4:AW23, AY4:AY23, BA4:BA23, BD4:BD23, BF4:BF23, BH4:BH23, BJ4:BJ23, BM4:BM17, BM19:BM23, BO4:BO23, BQ4:BQ23, BS4:BS23, BV4:BV17, BV19:BV22, BX4:BX23, BZ4:BZ23, CB4:CB23, CE4:CE19, CE21, CE23, CG4:CG23, CI4:CI23, CK4:CK23, CN4:CN17, CN19:CN23, CP4:CP23, CR4:CR23, CT4:CT23, CW4:CW23, CY4:CY11, CY13:CY23, DA4:DA23, DC4:DC23, DF4:DF23)-SUM(B13,D13,F13,H13,K13,M13,O13,Q13,T13,V13,X13,Z13,AC13,AE13,AG13,AI13,AL13,AN13,AP13,AR13,AU13,AW13,AY13,BA13,BD13,BF13,BH13,BJ13,BM13,BO13,BQ13,BS13,BV13,BX13,BZ13,CB13,CE13,CG13,CI13,CK13,CN13,CP13,CR13,CT13,CW13,CY13,DA13,DC13))-sum(B4,D4,F4,H4,K4,M4,O4,Q4,T4,V4,X4,Z4,AC4,AE4,AG4,AI4,AL4,AN4,AP4,AR4,AU4,AW4,AY4,BA4,BD4,BF4,BH4,BJ4,BM4,BO4,BQ4,BS4,BV4,BX4,BZ4,CB4,CE4,CG4,CI4,CK4,CN4,CP4,CR4,CT4,CW4,CY4,DA4,DC4))-sum(T17,T22,BV18,CE22,CY12))-sum(BM18,BV23))-sum(CE20,CN18)</f>
        <v>4113</v>
      </c>
      <c r="I35" s="55">
        <v>100.0</v>
      </c>
      <c r="J35" s="56">
        <f t="shared" ref="J35:J43" si="1">I35*H35</f>
        <v>411300</v>
      </c>
    </row>
    <row r="36">
      <c r="B36" s="25" t="s">
        <v>1061</v>
      </c>
      <c r="C36" s="47">
        <v>5.0</v>
      </c>
      <c r="D36" s="47">
        <v>9.0</v>
      </c>
      <c r="G36" s="57" t="s">
        <v>1062</v>
      </c>
      <c r="H36" s="48">
        <f>B27-sum(H37:H43)</f>
        <v>3283</v>
      </c>
      <c r="I36" s="58">
        <v>150.0</v>
      </c>
      <c r="J36" s="59">
        <f t="shared" si="1"/>
        <v>492450</v>
      </c>
      <c r="DE36" s="60"/>
      <c r="DF36" s="60"/>
      <c r="DG36" s="60"/>
      <c r="DH36" s="60"/>
      <c r="DI36" s="60"/>
      <c r="DJ36" s="60"/>
    </row>
    <row r="37">
      <c r="B37" s="61" t="s">
        <v>1063</v>
      </c>
      <c r="C37" s="47">
        <v>10.0</v>
      </c>
      <c r="G37" s="57" t="s">
        <v>1064</v>
      </c>
      <c r="H37" s="48">
        <f>sum(B4,D4,F4,H4,K4,M4,O4,Q4,T4,V4,X4,Z4,AC4,AE4,AG4,AI4,AL4,AN4,AP4,AR4,AU4,AW4,AY4,BA4,BD4,BF4,BH4,BJ4,BM4,BO4,BQ4,BS4,BV4,BX4,BZ4,CB4,CE4,CG4,CI4,CK4,CN4,CP4,CR4,CT4,CW4,CY4,DA4,DC4)</f>
        <v>222</v>
      </c>
      <c r="I37" s="58">
        <v>500.0</v>
      </c>
      <c r="J37" s="59">
        <f t="shared" si="1"/>
        <v>111000</v>
      </c>
      <c r="DE37" s="60"/>
      <c r="DF37" s="60"/>
      <c r="DG37" s="60"/>
      <c r="DH37" s="60"/>
      <c r="DI37" s="60"/>
      <c r="DJ37" s="60"/>
    </row>
    <row r="38">
      <c r="G38" s="57" t="s">
        <v>1065</v>
      </c>
      <c r="H38" s="48">
        <f>sum(B13,D13,F13,H13,K13,M13,O13,Q13,T13,V13,X13,Z13,AC13,AE13,AG13,AI13,AL13,AN13,AP13,AR13,AU13,AW13,AY13,BA13,BD13,BF13,BH13,BJ13,BM13,BO13,BQ13,BS13,BV13,BX13,BZ13,CB13,CE13,CG13,CI13,CK13,CN13,CP13,CR13,CT13,CW13,CY13,DA13,DC13)</f>
        <v>247</v>
      </c>
      <c r="I38" s="58">
        <v>200.0</v>
      </c>
      <c r="J38" s="59">
        <f t="shared" si="1"/>
        <v>49400</v>
      </c>
      <c r="DE38" s="60"/>
      <c r="DF38" s="60"/>
      <c r="DG38" s="60"/>
      <c r="DH38" s="60"/>
      <c r="DI38" s="60"/>
      <c r="DJ38" s="60"/>
    </row>
    <row r="39">
      <c r="G39" s="57" t="s">
        <v>1066</v>
      </c>
      <c r="H39" s="48">
        <f>SUM(DF5:DF23)</f>
        <v>119</v>
      </c>
      <c r="I39" s="58">
        <v>500.0</v>
      </c>
      <c r="J39" s="59">
        <f t="shared" si="1"/>
        <v>59500</v>
      </c>
      <c r="DE39" s="60"/>
      <c r="DF39" s="60"/>
      <c r="DG39" s="60"/>
      <c r="DH39" s="60"/>
      <c r="DI39" s="60"/>
      <c r="DJ39" s="60"/>
    </row>
    <row r="40">
      <c r="G40" s="57" t="s">
        <v>1067</v>
      </c>
      <c r="H40" s="48">
        <f>DF4</f>
        <v>7</v>
      </c>
      <c r="I40" s="58">
        <v>1500.0</v>
      </c>
      <c r="J40" s="59">
        <f t="shared" si="1"/>
        <v>10500</v>
      </c>
      <c r="DE40" s="60"/>
      <c r="DF40" s="60"/>
      <c r="DG40" s="60"/>
      <c r="DH40" s="60"/>
      <c r="DI40" s="60"/>
      <c r="DJ40" s="60"/>
    </row>
    <row r="41">
      <c r="G41" s="62" t="s">
        <v>1068</v>
      </c>
      <c r="H41" s="48">
        <f>sum(T17,T22,BV18,CE22,CY12)</f>
        <v>23</v>
      </c>
      <c r="I41" s="58">
        <v>1500.0</v>
      </c>
      <c r="J41" s="59">
        <f t="shared" si="1"/>
        <v>34500</v>
      </c>
      <c r="DE41" s="60"/>
      <c r="DF41" s="60"/>
      <c r="DG41" s="60"/>
      <c r="DH41" s="60"/>
      <c r="DI41" s="60"/>
      <c r="DJ41" s="60"/>
    </row>
    <row r="42">
      <c r="G42" s="62" t="s">
        <v>1069</v>
      </c>
      <c r="H42" s="48">
        <f>sum(BM18,BV23)</f>
        <v>8</v>
      </c>
      <c r="I42" s="58">
        <v>2500.0</v>
      </c>
      <c r="J42" s="59">
        <f t="shared" si="1"/>
        <v>20000</v>
      </c>
      <c r="DE42" s="60"/>
      <c r="DF42" s="60"/>
      <c r="DG42" s="60"/>
      <c r="DH42" s="60"/>
      <c r="DI42" s="60"/>
      <c r="DJ42" s="60"/>
    </row>
    <row r="43">
      <c r="G43" s="57" t="s">
        <v>1070</v>
      </c>
      <c r="H43" s="48">
        <f>sum(CE20,CN18)</f>
        <v>12</v>
      </c>
      <c r="I43" s="58">
        <v>3500.0</v>
      </c>
      <c r="J43" s="59">
        <f t="shared" si="1"/>
        <v>42000</v>
      </c>
      <c r="DE43" s="60"/>
      <c r="DF43" s="60"/>
      <c r="DG43" s="60"/>
      <c r="DH43" s="60"/>
      <c r="DI43" s="60"/>
      <c r="DJ43" s="60"/>
    </row>
    <row r="44">
      <c r="G44" s="51" t="s">
        <v>1052</v>
      </c>
      <c r="H44" s="48">
        <f>SUM(H36:H43)</f>
        <v>3921</v>
      </c>
      <c r="J44" s="59">
        <f>SUM(J36:J43)</f>
        <v>819350</v>
      </c>
      <c r="DE44" s="60"/>
      <c r="DF44" s="60"/>
      <c r="DG44" s="60"/>
      <c r="DH44" s="60"/>
      <c r="DI44" s="60"/>
      <c r="DJ44" s="60"/>
    </row>
    <row r="45">
      <c r="DE45" s="60"/>
      <c r="DF45" s="60"/>
      <c r="DG45" s="60"/>
      <c r="DH45" s="60"/>
      <c r="DI45" s="60"/>
      <c r="DJ45" s="60"/>
    </row>
    <row r="46">
      <c r="DE46" s="60"/>
      <c r="DF46" s="60"/>
      <c r="DG46" s="60"/>
      <c r="DH46" s="60"/>
      <c r="DI46" s="60"/>
      <c r="DJ46" s="60"/>
    </row>
    <row r="47">
      <c r="DE47" s="60"/>
      <c r="DF47" s="60"/>
      <c r="DG47" s="60"/>
      <c r="DH47" s="60"/>
      <c r="DI47" s="60"/>
      <c r="DJ47" s="60"/>
    </row>
    <row r="48">
      <c r="DE48" s="60"/>
      <c r="DF48" s="60"/>
      <c r="DG48" s="60"/>
      <c r="DH48" s="60"/>
      <c r="DI48" s="60"/>
      <c r="DJ48" s="60"/>
    </row>
    <row r="49">
      <c r="DE49" s="60"/>
      <c r="DF49" s="60"/>
      <c r="DG49" s="60"/>
      <c r="DH49" s="60"/>
      <c r="DI49" s="60"/>
      <c r="DJ49" s="60"/>
    </row>
    <row r="50">
      <c r="DE50" s="60"/>
      <c r="DF50" s="60"/>
      <c r="DG50" s="60"/>
      <c r="DH50" s="60"/>
      <c r="DI50" s="60"/>
      <c r="DJ50" s="60"/>
    </row>
    <row r="51">
      <c r="DE51" s="60"/>
      <c r="DF51" s="60"/>
      <c r="DG51" s="60"/>
      <c r="DH51" s="60"/>
      <c r="DI51" s="60"/>
      <c r="DJ51" s="60"/>
    </row>
    <row r="52">
      <c r="DE52" s="60"/>
      <c r="DF52" s="60"/>
      <c r="DG52" s="60"/>
      <c r="DH52" s="60"/>
      <c r="DI52" s="60"/>
      <c r="DJ52" s="60"/>
    </row>
    <row r="53">
      <c r="DE53" s="60"/>
      <c r="DF53" s="60"/>
      <c r="DG53" s="60"/>
      <c r="DH53" s="60"/>
      <c r="DI53" s="60"/>
      <c r="DJ53" s="60"/>
    </row>
    <row r="54">
      <c r="DE54" s="60"/>
      <c r="DF54" s="60"/>
      <c r="DG54" s="60"/>
      <c r="DH54" s="60"/>
      <c r="DI54" s="60"/>
      <c r="DJ54" s="60"/>
    </row>
    <row r="55">
      <c r="DE55" s="60"/>
      <c r="DF55" s="60"/>
      <c r="DG55" s="60"/>
      <c r="DH55" s="60"/>
      <c r="DI55" s="60"/>
      <c r="DJ55" s="60"/>
    </row>
    <row r="56">
      <c r="DE56" s="60"/>
      <c r="DF56" s="60"/>
      <c r="DG56" s="60"/>
      <c r="DH56" s="60"/>
      <c r="DI56" s="60"/>
      <c r="DJ56" s="60"/>
    </row>
    <row r="57">
      <c r="DE57" s="60"/>
      <c r="DF57" s="60"/>
      <c r="DG57" s="60"/>
      <c r="DH57" s="60"/>
      <c r="DI57" s="60"/>
      <c r="DJ57" s="60"/>
    </row>
    <row r="58">
      <c r="P58" s="47" t="s">
        <v>1071</v>
      </c>
      <c r="DE58" s="60"/>
      <c r="DF58" s="60"/>
      <c r="DG58" s="60"/>
      <c r="DH58" s="60"/>
      <c r="DI58" s="60"/>
      <c r="DJ58" s="60"/>
    </row>
    <row r="59">
      <c r="DE59" s="60"/>
      <c r="DF59" s="60"/>
      <c r="DG59" s="60"/>
      <c r="DH59" s="60"/>
      <c r="DI59" s="60"/>
      <c r="DJ59" s="60"/>
    </row>
    <row r="60">
      <c r="DE60" s="60"/>
      <c r="DF60" s="60"/>
      <c r="DG60" s="60"/>
      <c r="DH60" s="60"/>
      <c r="DI60" s="60"/>
      <c r="DJ60" s="60"/>
    </row>
    <row r="61">
      <c r="DE61" s="60"/>
      <c r="DF61" s="60"/>
      <c r="DG61" s="60"/>
      <c r="DH61" s="60"/>
      <c r="DI61" s="60"/>
      <c r="DJ61" s="60"/>
    </row>
    <row r="62">
      <c r="DE62" s="60"/>
      <c r="DF62" s="60"/>
      <c r="DG62" s="60"/>
      <c r="DH62" s="60"/>
      <c r="DI62" s="60"/>
      <c r="DJ62" s="60"/>
    </row>
    <row r="63">
      <c r="DE63" s="60"/>
      <c r="DF63" s="60"/>
      <c r="DG63" s="60"/>
      <c r="DH63" s="60"/>
      <c r="DI63" s="60"/>
      <c r="DJ63" s="60"/>
    </row>
    <row r="64">
      <c r="DE64" s="60"/>
      <c r="DF64" s="60"/>
      <c r="DG64" s="60"/>
      <c r="DH64" s="60"/>
      <c r="DI64" s="60"/>
      <c r="DJ64" s="60"/>
    </row>
    <row r="65">
      <c r="DE65" s="60"/>
      <c r="DF65" s="60"/>
      <c r="DG65" s="60"/>
      <c r="DH65" s="60"/>
      <c r="DI65" s="60"/>
      <c r="DJ65" s="60"/>
    </row>
    <row r="66">
      <c r="DE66" s="60"/>
      <c r="DF66" s="60"/>
      <c r="DG66" s="60"/>
      <c r="DH66" s="60"/>
      <c r="DI66" s="60"/>
      <c r="DJ66" s="60"/>
    </row>
    <row r="67">
      <c r="DE67" s="60"/>
      <c r="DF67" s="60"/>
      <c r="DG67" s="60"/>
      <c r="DH67" s="60"/>
      <c r="DI67" s="60"/>
      <c r="DJ67" s="60"/>
    </row>
    <row r="68">
      <c r="DE68" s="60"/>
      <c r="DF68" s="60"/>
      <c r="DG68" s="60"/>
      <c r="DH68" s="60"/>
      <c r="DI68" s="60"/>
      <c r="DJ68" s="60"/>
    </row>
    <row r="69">
      <c r="DE69" s="60"/>
      <c r="DF69" s="60"/>
      <c r="DG69" s="60"/>
      <c r="DH69" s="60"/>
      <c r="DI69" s="60"/>
      <c r="DJ69" s="60"/>
    </row>
    <row r="70">
      <c r="DE70" s="60"/>
      <c r="DF70" s="60"/>
      <c r="DG70" s="60"/>
      <c r="DH70" s="60"/>
      <c r="DI70" s="60"/>
      <c r="DJ70" s="60"/>
    </row>
    <row r="71">
      <c r="DE71" s="60"/>
      <c r="DF71" s="60"/>
      <c r="DG71" s="60"/>
      <c r="DH71" s="60"/>
      <c r="DI71" s="60"/>
      <c r="DJ71" s="60"/>
    </row>
    <row r="72">
      <c r="DE72" s="60"/>
      <c r="DF72" s="60"/>
      <c r="DG72" s="60"/>
      <c r="DH72" s="60"/>
      <c r="DI72" s="60"/>
      <c r="DJ72" s="60"/>
    </row>
    <row r="73">
      <c r="DE73" s="60"/>
      <c r="DF73" s="60"/>
      <c r="DG73" s="60"/>
      <c r="DH73" s="60"/>
      <c r="DI73" s="60"/>
      <c r="DJ73" s="60"/>
    </row>
    <row r="74">
      <c r="DE74" s="60"/>
      <c r="DF74" s="60"/>
      <c r="DG74" s="60"/>
      <c r="DH74" s="60"/>
      <c r="DI74" s="60"/>
      <c r="DJ74" s="60"/>
    </row>
    <row r="75">
      <c r="DE75" s="60"/>
      <c r="DF75" s="60"/>
      <c r="DG75" s="60"/>
      <c r="DH75" s="60"/>
      <c r="DI75" s="60"/>
      <c r="DJ75" s="60"/>
    </row>
    <row r="76">
      <c r="DE76" s="60"/>
      <c r="DF76" s="60"/>
      <c r="DG76" s="60"/>
      <c r="DH76" s="60"/>
      <c r="DI76" s="60"/>
      <c r="DJ76" s="60"/>
    </row>
    <row r="77">
      <c r="DE77" s="60"/>
      <c r="DF77" s="60"/>
      <c r="DG77" s="60"/>
      <c r="DH77" s="60"/>
      <c r="DI77" s="60"/>
      <c r="DJ77" s="60"/>
    </row>
    <row r="78">
      <c r="DE78" s="60"/>
      <c r="DF78" s="60"/>
      <c r="DG78" s="60"/>
      <c r="DH78" s="60"/>
      <c r="DI78" s="60"/>
      <c r="DJ78" s="60"/>
    </row>
    <row r="79">
      <c r="DE79" s="60"/>
      <c r="DF79" s="60"/>
      <c r="DG79" s="60"/>
      <c r="DH79" s="60"/>
      <c r="DI79" s="60"/>
      <c r="DJ79" s="60"/>
    </row>
    <row r="80">
      <c r="DE80" s="60"/>
      <c r="DF80" s="60"/>
      <c r="DG80" s="60"/>
      <c r="DH80" s="60"/>
      <c r="DI80" s="60"/>
      <c r="DJ80" s="60"/>
    </row>
    <row r="81">
      <c r="DE81" s="60"/>
      <c r="DF81" s="60"/>
      <c r="DG81" s="60"/>
      <c r="DH81" s="60"/>
      <c r="DI81" s="60"/>
      <c r="DJ81" s="60"/>
    </row>
    <row r="82">
      <c r="DE82" s="60"/>
      <c r="DF82" s="60"/>
      <c r="DG82" s="60"/>
      <c r="DH82" s="60"/>
      <c r="DI82" s="60"/>
      <c r="DJ82" s="60"/>
    </row>
    <row r="83">
      <c r="DE83" s="60"/>
      <c r="DF83" s="60"/>
      <c r="DG83" s="60"/>
      <c r="DH83" s="60"/>
      <c r="DI83" s="60"/>
      <c r="DJ83" s="60"/>
    </row>
    <row r="84">
      <c r="DE84" s="60"/>
      <c r="DF84" s="60"/>
      <c r="DG84" s="60"/>
      <c r="DH84" s="60"/>
      <c r="DI84" s="60"/>
      <c r="DJ84" s="60"/>
    </row>
    <row r="85">
      <c r="DE85" s="60"/>
      <c r="DF85" s="60"/>
      <c r="DG85" s="60"/>
      <c r="DH85" s="60"/>
      <c r="DI85" s="60"/>
      <c r="DJ85" s="60"/>
    </row>
    <row r="86">
      <c r="DE86" s="60"/>
      <c r="DF86" s="60"/>
      <c r="DG86" s="60"/>
      <c r="DH86" s="60"/>
      <c r="DI86" s="60"/>
      <c r="DJ86" s="60"/>
    </row>
    <row r="87">
      <c r="DE87" s="60"/>
      <c r="DF87" s="60"/>
      <c r="DG87" s="60"/>
      <c r="DH87" s="60"/>
      <c r="DI87" s="60"/>
      <c r="DJ87" s="60"/>
    </row>
    <row r="88">
      <c r="DE88" s="60"/>
      <c r="DF88" s="60"/>
      <c r="DG88" s="60"/>
      <c r="DH88" s="60"/>
      <c r="DI88" s="60"/>
      <c r="DJ88" s="60"/>
    </row>
    <row r="89">
      <c r="DE89" s="60"/>
      <c r="DF89" s="60"/>
      <c r="DG89" s="60"/>
      <c r="DH89" s="60"/>
      <c r="DI89" s="60"/>
      <c r="DJ89" s="60"/>
    </row>
    <row r="90">
      <c r="DE90" s="60"/>
      <c r="DF90" s="60"/>
      <c r="DG90" s="60"/>
      <c r="DH90" s="60"/>
      <c r="DI90" s="60"/>
      <c r="DJ90" s="60"/>
    </row>
    <row r="91">
      <c r="DE91" s="60"/>
      <c r="DF91" s="60"/>
      <c r="DG91" s="60"/>
      <c r="DH91" s="60"/>
      <c r="DI91" s="60"/>
      <c r="DJ91" s="60"/>
    </row>
    <row r="92">
      <c r="DE92" s="60"/>
      <c r="DF92" s="60"/>
      <c r="DG92" s="60"/>
      <c r="DH92" s="60"/>
      <c r="DI92" s="60"/>
      <c r="DJ92" s="60"/>
    </row>
    <row r="93">
      <c r="DE93" s="60"/>
      <c r="DF93" s="60"/>
      <c r="DG93" s="60"/>
      <c r="DH93" s="60"/>
      <c r="DI93" s="60"/>
      <c r="DJ93" s="60"/>
    </row>
    <row r="94">
      <c r="DE94" s="60"/>
      <c r="DF94" s="60"/>
      <c r="DG94" s="60"/>
      <c r="DH94" s="60"/>
      <c r="DI94" s="60"/>
      <c r="DJ94" s="60"/>
    </row>
    <row r="95">
      <c r="DE95" s="60"/>
      <c r="DF95" s="60"/>
      <c r="DG95" s="60"/>
      <c r="DH95" s="60"/>
      <c r="DI95" s="60"/>
      <c r="DJ95" s="60"/>
    </row>
    <row r="96">
      <c r="DE96" s="60"/>
      <c r="DF96" s="60"/>
      <c r="DG96" s="60"/>
      <c r="DH96" s="60"/>
      <c r="DI96" s="60"/>
      <c r="DJ96" s="60"/>
    </row>
    <row r="97">
      <c r="DE97" s="60"/>
      <c r="DF97" s="60"/>
      <c r="DG97" s="60"/>
      <c r="DH97" s="60"/>
      <c r="DI97" s="60"/>
      <c r="DJ97" s="60"/>
    </row>
    <row r="98">
      <c r="DE98" s="60"/>
      <c r="DF98" s="60"/>
      <c r="DG98" s="60"/>
      <c r="DH98" s="60"/>
      <c r="DI98" s="60"/>
      <c r="DJ98" s="60"/>
    </row>
    <row r="99">
      <c r="DE99" s="60"/>
      <c r="DF99" s="60"/>
      <c r="DG99" s="60"/>
      <c r="DH99" s="60"/>
      <c r="DI99" s="60"/>
      <c r="DJ99" s="60"/>
    </row>
    <row r="100">
      <c r="DE100" s="60"/>
      <c r="DF100" s="60"/>
      <c r="DG100" s="60"/>
      <c r="DH100" s="60"/>
      <c r="DI100" s="60"/>
      <c r="DJ100" s="60"/>
    </row>
    <row r="101">
      <c r="DE101" s="60"/>
      <c r="DF101" s="60"/>
      <c r="DG101" s="60"/>
      <c r="DH101" s="60"/>
      <c r="DI101" s="60"/>
      <c r="DJ101" s="60"/>
    </row>
    <row r="102">
      <c r="DE102" s="60"/>
      <c r="DF102" s="60"/>
      <c r="DG102" s="60"/>
      <c r="DH102" s="60"/>
      <c r="DI102" s="60"/>
      <c r="DJ102" s="60"/>
    </row>
    <row r="103">
      <c r="DE103" s="60"/>
      <c r="DF103" s="60"/>
      <c r="DG103" s="60"/>
      <c r="DH103" s="60"/>
      <c r="DI103" s="60"/>
      <c r="DJ103" s="60"/>
    </row>
    <row r="104">
      <c r="DE104" s="60"/>
      <c r="DF104" s="60"/>
      <c r="DG104" s="60"/>
      <c r="DH104" s="60"/>
      <c r="DI104" s="60"/>
      <c r="DJ104" s="60"/>
    </row>
    <row r="105">
      <c r="DE105" s="60"/>
      <c r="DF105" s="60"/>
      <c r="DG105" s="60"/>
      <c r="DH105" s="60"/>
      <c r="DI105" s="60"/>
      <c r="DJ105" s="60"/>
    </row>
    <row r="106">
      <c r="DE106" s="60"/>
      <c r="DF106" s="60"/>
      <c r="DG106" s="60"/>
      <c r="DH106" s="60"/>
      <c r="DI106" s="60"/>
      <c r="DJ106" s="60"/>
    </row>
    <row r="107">
      <c r="DE107" s="60"/>
      <c r="DF107" s="60"/>
      <c r="DG107" s="60"/>
      <c r="DH107" s="60"/>
      <c r="DI107" s="60"/>
      <c r="DJ107" s="60"/>
    </row>
    <row r="108">
      <c r="DE108" s="60"/>
      <c r="DF108" s="60"/>
      <c r="DG108" s="60"/>
      <c r="DH108" s="60"/>
      <c r="DI108" s="60"/>
      <c r="DJ108" s="60"/>
    </row>
    <row r="109">
      <c r="DE109" s="60"/>
      <c r="DF109" s="60"/>
      <c r="DG109" s="60"/>
      <c r="DH109" s="60"/>
      <c r="DI109" s="60"/>
      <c r="DJ109" s="60"/>
    </row>
    <row r="110">
      <c r="DE110" s="60"/>
      <c r="DF110" s="60"/>
      <c r="DG110" s="60"/>
      <c r="DH110" s="60"/>
      <c r="DI110" s="60"/>
      <c r="DJ110" s="60"/>
    </row>
    <row r="111">
      <c r="DE111" s="60"/>
      <c r="DF111" s="60"/>
      <c r="DG111" s="60"/>
      <c r="DH111" s="60"/>
      <c r="DI111" s="60"/>
      <c r="DJ111" s="60"/>
    </row>
    <row r="112">
      <c r="DE112" s="60"/>
      <c r="DF112" s="60"/>
      <c r="DG112" s="60"/>
      <c r="DH112" s="60"/>
      <c r="DI112" s="60"/>
      <c r="DJ112" s="60"/>
    </row>
    <row r="113">
      <c r="DE113" s="60"/>
      <c r="DF113" s="60"/>
      <c r="DG113" s="60"/>
      <c r="DH113" s="60"/>
      <c r="DI113" s="60"/>
      <c r="DJ113" s="60"/>
    </row>
    <row r="114">
      <c r="DE114" s="60"/>
      <c r="DF114" s="60"/>
      <c r="DG114" s="60"/>
      <c r="DH114" s="60"/>
      <c r="DI114" s="60"/>
      <c r="DJ114" s="60"/>
    </row>
    <row r="115">
      <c r="DE115" s="60"/>
      <c r="DF115" s="60"/>
      <c r="DG115" s="60"/>
      <c r="DH115" s="60"/>
      <c r="DI115" s="60"/>
      <c r="DJ115" s="60"/>
    </row>
    <row r="116">
      <c r="DE116" s="60"/>
      <c r="DF116" s="60"/>
      <c r="DG116" s="60"/>
      <c r="DH116" s="60"/>
      <c r="DI116" s="60"/>
      <c r="DJ116" s="60"/>
    </row>
    <row r="117">
      <c r="DE117" s="60"/>
      <c r="DF117" s="60"/>
      <c r="DG117" s="60"/>
      <c r="DH117" s="60"/>
      <c r="DI117" s="60"/>
      <c r="DJ117" s="60"/>
    </row>
    <row r="118">
      <c r="DE118" s="60"/>
      <c r="DF118" s="60"/>
      <c r="DG118" s="60"/>
      <c r="DH118" s="60"/>
      <c r="DI118" s="60"/>
      <c r="DJ118" s="60"/>
    </row>
    <row r="119">
      <c r="DE119" s="60"/>
      <c r="DF119" s="60"/>
      <c r="DG119" s="60"/>
      <c r="DH119" s="60"/>
      <c r="DI119" s="60"/>
      <c r="DJ119" s="60"/>
    </row>
    <row r="120">
      <c r="DE120" s="60"/>
      <c r="DF120" s="60"/>
      <c r="DG120" s="60"/>
      <c r="DH120" s="60"/>
      <c r="DI120" s="60"/>
      <c r="DJ120" s="60"/>
    </row>
    <row r="121">
      <c r="DE121" s="60"/>
      <c r="DF121" s="60"/>
      <c r="DG121" s="60"/>
      <c r="DH121" s="60"/>
      <c r="DI121" s="60"/>
      <c r="DJ121" s="60"/>
    </row>
    <row r="122">
      <c r="DE122" s="60"/>
      <c r="DF122" s="60"/>
      <c r="DG122" s="60"/>
      <c r="DH122" s="60"/>
      <c r="DI122" s="60"/>
      <c r="DJ122" s="60"/>
    </row>
    <row r="123">
      <c r="DE123" s="60"/>
      <c r="DF123" s="60"/>
      <c r="DG123" s="60"/>
      <c r="DH123" s="60"/>
      <c r="DI123" s="60"/>
      <c r="DJ123" s="60"/>
    </row>
    <row r="124">
      <c r="DE124" s="60"/>
      <c r="DF124" s="60"/>
      <c r="DG124" s="60"/>
      <c r="DH124" s="60"/>
      <c r="DI124" s="60"/>
      <c r="DJ124" s="60"/>
    </row>
    <row r="125">
      <c r="DE125" s="60"/>
      <c r="DF125" s="60"/>
      <c r="DG125" s="60"/>
      <c r="DH125" s="60"/>
      <c r="DI125" s="60"/>
      <c r="DJ125" s="60"/>
    </row>
    <row r="126">
      <c r="DE126" s="60"/>
      <c r="DF126" s="60"/>
      <c r="DG126" s="60"/>
      <c r="DH126" s="60"/>
      <c r="DI126" s="60"/>
      <c r="DJ126" s="60"/>
    </row>
    <row r="127">
      <c r="DE127" s="60"/>
      <c r="DF127" s="60"/>
      <c r="DG127" s="60"/>
      <c r="DH127" s="60"/>
      <c r="DI127" s="60"/>
      <c r="DJ127" s="60"/>
    </row>
    <row r="128">
      <c r="DE128" s="60"/>
      <c r="DF128" s="60"/>
      <c r="DG128" s="60"/>
      <c r="DH128" s="60"/>
      <c r="DI128" s="60"/>
      <c r="DJ128" s="60"/>
    </row>
    <row r="129">
      <c r="DE129" s="60"/>
      <c r="DF129" s="60"/>
      <c r="DG129" s="60"/>
      <c r="DH129" s="60"/>
      <c r="DI129" s="60"/>
      <c r="DJ129" s="60"/>
    </row>
    <row r="130">
      <c r="DE130" s="60"/>
      <c r="DF130" s="60"/>
      <c r="DG130" s="60"/>
      <c r="DH130" s="60"/>
      <c r="DI130" s="60"/>
      <c r="DJ130" s="60"/>
    </row>
    <row r="131">
      <c r="DE131" s="60"/>
      <c r="DF131" s="60"/>
      <c r="DG131" s="60"/>
      <c r="DH131" s="60"/>
      <c r="DI131" s="60"/>
      <c r="DJ131" s="60"/>
    </row>
    <row r="132">
      <c r="DE132" s="60"/>
      <c r="DF132" s="60"/>
      <c r="DG132" s="60"/>
      <c r="DH132" s="60"/>
      <c r="DI132" s="60"/>
      <c r="DJ132" s="60"/>
    </row>
    <row r="133">
      <c r="DE133" s="60"/>
      <c r="DF133" s="60"/>
      <c r="DG133" s="60"/>
      <c r="DH133" s="60"/>
      <c r="DI133" s="60"/>
      <c r="DJ133" s="60"/>
    </row>
    <row r="134">
      <c r="DE134" s="60"/>
      <c r="DF134" s="60"/>
      <c r="DG134" s="60"/>
      <c r="DH134" s="60"/>
      <c r="DI134" s="60"/>
      <c r="DJ134" s="60"/>
    </row>
    <row r="135">
      <c r="DE135" s="60"/>
      <c r="DF135" s="60"/>
      <c r="DG135" s="60"/>
      <c r="DH135" s="60"/>
      <c r="DI135" s="60"/>
      <c r="DJ135" s="60"/>
    </row>
    <row r="136">
      <c r="DE136" s="60"/>
      <c r="DF136" s="60"/>
      <c r="DG136" s="60"/>
      <c r="DH136" s="60"/>
      <c r="DI136" s="60"/>
      <c r="DJ136" s="60"/>
    </row>
    <row r="137">
      <c r="DE137" s="60"/>
      <c r="DF137" s="60"/>
      <c r="DG137" s="60"/>
      <c r="DH137" s="60"/>
      <c r="DI137" s="60"/>
      <c r="DJ137" s="60"/>
    </row>
    <row r="138">
      <c r="DE138" s="60"/>
      <c r="DF138" s="60"/>
      <c r="DG138" s="60"/>
      <c r="DH138" s="60"/>
      <c r="DI138" s="60"/>
      <c r="DJ138" s="60"/>
    </row>
    <row r="139">
      <c r="DE139" s="60"/>
      <c r="DF139" s="60"/>
      <c r="DG139" s="60"/>
      <c r="DH139" s="60"/>
      <c r="DI139" s="60"/>
      <c r="DJ139" s="60"/>
    </row>
    <row r="140">
      <c r="DE140" s="60"/>
      <c r="DF140" s="60"/>
      <c r="DG140" s="60"/>
      <c r="DH140" s="60"/>
      <c r="DI140" s="60"/>
      <c r="DJ140" s="60"/>
    </row>
    <row r="141">
      <c r="DE141" s="60"/>
      <c r="DF141" s="60"/>
      <c r="DG141" s="60"/>
      <c r="DH141" s="60"/>
      <c r="DI141" s="60"/>
      <c r="DJ141" s="60"/>
    </row>
    <row r="142">
      <c r="DE142" s="60"/>
      <c r="DF142" s="60"/>
      <c r="DG142" s="60"/>
      <c r="DH142" s="60"/>
      <c r="DI142" s="60"/>
      <c r="DJ142" s="60"/>
    </row>
    <row r="143">
      <c r="DE143" s="60"/>
      <c r="DF143" s="60"/>
      <c r="DG143" s="60"/>
      <c r="DH143" s="60"/>
      <c r="DI143" s="60"/>
      <c r="DJ143" s="60"/>
    </row>
    <row r="144">
      <c r="DE144" s="60"/>
      <c r="DF144" s="60"/>
      <c r="DG144" s="60"/>
      <c r="DH144" s="60"/>
      <c r="DI144" s="60"/>
      <c r="DJ144" s="60"/>
    </row>
    <row r="145">
      <c r="DE145" s="60"/>
      <c r="DF145" s="60"/>
      <c r="DG145" s="60"/>
      <c r="DH145" s="60"/>
      <c r="DI145" s="60"/>
      <c r="DJ145" s="60"/>
    </row>
    <row r="146">
      <c r="DE146" s="60"/>
      <c r="DF146" s="60"/>
      <c r="DG146" s="60"/>
      <c r="DH146" s="60"/>
      <c r="DI146" s="60"/>
      <c r="DJ146" s="60"/>
    </row>
    <row r="147">
      <c r="DE147" s="60"/>
      <c r="DF147" s="60"/>
      <c r="DG147" s="60"/>
      <c r="DH147" s="60"/>
      <c r="DI147" s="60"/>
      <c r="DJ147" s="60"/>
    </row>
    <row r="148">
      <c r="DE148" s="60"/>
      <c r="DF148" s="60"/>
      <c r="DG148" s="60"/>
      <c r="DH148" s="60"/>
      <c r="DI148" s="60"/>
      <c r="DJ148" s="60"/>
    </row>
    <row r="149">
      <c r="DE149" s="60"/>
      <c r="DF149" s="60"/>
      <c r="DG149" s="60"/>
      <c r="DH149" s="60"/>
      <c r="DI149" s="60"/>
      <c r="DJ149" s="60"/>
    </row>
    <row r="150">
      <c r="DE150" s="60"/>
      <c r="DF150" s="60"/>
      <c r="DG150" s="60"/>
      <c r="DH150" s="60"/>
      <c r="DI150" s="60"/>
      <c r="DJ150" s="60"/>
    </row>
    <row r="151">
      <c r="DE151" s="60"/>
      <c r="DF151" s="60"/>
      <c r="DG151" s="60"/>
      <c r="DH151" s="60"/>
      <c r="DI151" s="60"/>
      <c r="DJ151" s="60"/>
    </row>
    <row r="152">
      <c r="DE152" s="60"/>
      <c r="DF152" s="60"/>
      <c r="DG152" s="60"/>
      <c r="DH152" s="60"/>
      <c r="DI152" s="60"/>
      <c r="DJ152" s="60"/>
    </row>
    <row r="153">
      <c r="DE153" s="60"/>
      <c r="DF153" s="60"/>
      <c r="DG153" s="60"/>
      <c r="DH153" s="60"/>
      <c r="DI153" s="60"/>
      <c r="DJ153" s="60"/>
    </row>
    <row r="154">
      <c r="DE154" s="60"/>
      <c r="DF154" s="60"/>
      <c r="DG154" s="60"/>
      <c r="DH154" s="60"/>
      <c r="DI154" s="60"/>
      <c r="DJ154" s="60"/>
    </row>
    <row r="155">
      <c r="DE155" s="60"/>
      <c r="DF155" s="60"/>
      <c r="DG155" s="60"/>
      <c r="DH155" s="60"/>
      <c r="DI155" s="60"/>
      <c r="DJ155" s="60"/>
    </row>
    <row r="156">
      <c r="DE156" s="60"/>
      <c r="DF156" s="60"/>
      <c r="DG156" s="60"/>
      <c r="DH156" s="60"/>
      <c r="DI156" s="60"/>
      <c r="DJ156" s="60"/>
    </row>
    <row r="157">
      <c r="DE157" s="60"/>
      <c r="DF157" s="60"/>
      <c r="DG157" s="60"/>
      <c r="DH157" s="60"/>
      <c r="DI157" s="60"/>
      <c r="DJ157" s="60"/>
    </row>
    <row r="158">
      <c r="DE158" s="60"/>
      <c r="DF158" s="60"/>
      <c r="DG158" s="60"/>
      <c r="DH158" s="60"/>
      <c r="DI158" s="60"/>
      <c r="DJ158" s="60"/>
    </row>
    <row r="159">
      <c r="DE159" s="60"/>
      <c r="DF159" s="60"/>
      <c r="DG159" s="60"/>
      <c r="DH159" s="60"/>
      <c r="DI159" s="60"/>
      <c r="DJ159" s="60"/>
    </row>
    <row r="160">
      <c r="DE160" s="60"/>
      <c r="DF160" s="60"/>
      <c r="DG160" s="60"/>
      <c r="DH160" s="60"/>
      <c r="DI160" s="60"/>
      <c r="DJ160" s="60"/>
    </row>
    <row r="161">
      <c r="DE161" s="60"/>
      <c r="DF161" s="60"/>
      <c r="DG161" s="60"/>
      <c r="DH161" s="60"/>
      <c r="DI161" s="60"/>
      <c r="DJ161" s="60"/>
    </row>
    <row r="162">
      <c r="DE162" s="60"/>
      <c r="DF162" s="60"/>
      <c r="DG162" s="60"/>
      <c r="DH162" s="60"/>
      <c r="DI162" s="60"/>
      <c r="DJ162" s="60"/>
    </row>
    <row r="163">
      <c r="DE163" s="60"/>
      <c r="DF163" s="60"/>
      <c r="DG163" s="60"/>
      <c r="DH163" s="60"/>
      <c r="DI163" s="60"/>
      <c r="DJ163" s="60"/>
    </row>
    <row r="164">
      <c r="DE164" s="60"/>
      <c r="DF164" s="60"/>
      <c r="DG164" s="60"/>
      <c r="DH164" s="60"/>
      <c r="DI164" s="60"/>
      <c r="DJ164" s="60"/>
    </row>
    <row r="165">
      <c r="DE165" s="60"/>
      <c r="DF165" s="60"/>
      <c r="DG165" s="60"/>
      <c r="DH165" s="60"/>
      <c r="DI165" s="60"/>
      <c r="DJ165" s="60"/>
    </row>
    <row r="166">
      <c r="DE166" s="60"/>
      <c r="DF166" s="60"/>
      <c r="DG166" s="60"/>
      <c r="DH166" s="60"/>
      <c r="DI166" s="60"/>
      <c r="DJ166" s="60"/>
    </row>
    <row r="167">
      <c r="DE167" s="60"/>
      <c r="DF167" s="60"/>
      <c r="DG167" s="60"/>
      <c r="DH167" s="60"/>
      <c r="DI167" s="60"/>
      <c r="DJ167" s="60"/>
    </row>
    <row r="168">
      <c r="DE168" s="60"/>
      <c r="DF168" s="60"/>
      <c r="DG168" s="60"/>
      <c r="DH168" s="60"/>
      <c r="DI168" s="60"/>
      <c r="DJ168" s="60"/>
    </row>
    <row r="169">
      <c r="DE169" s="60"/>
      <c r="DF169" s="60"/>
      <c r="DG169" s="60"/>
      <c r="DH169" s="60"/>
      <c r="DI169" s="60"/>
      <c r="DJ169" s="60"/>
    </row>
    <row r="170">
      <c r="DE170" s="60"/>
      <c r="DF170" s="60"/>
      <c r="DG170" s="60"/>
      <c r="DH170" s="60"/>
      <c r="DI170" s="60"/>
      <c r="DJ170" s="60"/>
    </row>
    <row r="171">
      <c r="DE171" s="60"/>
      <c r="DF171" s="60"/>
      <c r="DG171" s="60"/>
      <c r="DH171" s="60"/>
      <c r="DI171" s="60"/>
      <c r="DJ171" s="60"/>
    </row>
    <row r="172">
      <c r="DE172" s="60"/>
      <c r="DF172" s="60"/>
      <c r="DG172" s="60"/>
      <c r="DH172" s="60"/>
      <c r="DI172" s="60"/>
      <c r="DJ172" s="60"/>
    </row>
    <row r="173">
      <c r="DE173" s="60"/>
      <c r="DF173" s="60"/>
      <c r="DG173" s="60"/>
      <c r="DH173" s="60"/>
      <c r="DI173" s="60"/>
      <c r="DJ173" s="60"/>
    </row>
    <row r="174">
      <c r="DE174" s="60"/>
      <c r="DF174" s="60"/>
      <c r="DG174" s="60"/>
      <c r="DH174" s="60"/>
      <c r="DI174" s="60"/>
      <c r="DJ174" s="60"/>
    </row>
    <row r="175">
      <c r="DE175" s="60"/>
      <c r="DF175" s="60"/>
      <c r="DG175" s="60"/>
      <c r="DH175" s="60"/>
      <c r="DI175" s="60"/>
      <c r="DJ175" s="60"/>
    </row>
    <row r="176">
      <c r="DE176" s="60"/>
      <c r="DF176" s="60"/>
      <c r="DG176" s="60"/>
      <c r="DH176" s="60"/>
      <c r="DI176" s="60"/>
      <c r="DJ176" s="60"/>
    </row>
    <row r="177">
      <c r="DE177" s="60"/>
      <c r="DF177" s="60"/>
      <c r="DG177" s="60"/>
      <c r="DH177" s="60"/>
      <c r="DI177" s="60"/>
      <c r="DJ177" s="60"/>
    </row>
    <row r="178">
      <c r="DE178" s="60"/>
      <c r="DF178" s="60"/>
      <c r="DG178" s="60"/>
      <c r="DH178" s="60"/>
      <c r="DI178" s="60"/>
      <c r="DJ178" s="60"/>
    </row>
    <row r="179">
      <c r="DE179" s="60"/>
      <c r="DF179" s="60"/>
      <c r="DG179" s="60"/>
      <c r="DH179" s="60"/>
      <c r="DI179" s="60"/>
      <c r="DJ179" s="60"/>
    </row>
    <row r="180">
      <c r="DE180" s="60"/>
      <c r="DF180" s="60"/>
      <c r="DG180" s="60"/>
      <c r="DH180" s="60"/>
      <c r="DI180" s="60"/>
      <c r="DJ180" s="60"/>
    </row>
    <row r="181">
      <c r="DE181" s="60"/>
      <c r="DF181" s="60"/>
      <c r="DG181" s="60"/>
      <c r="DH181" s="60"/>
      <c r="DI181" s="60"/>
      <c r="DJ181" s="60"/>
    </row>
    <row r="182">
      <c r="DE182" s="60"/>
      <c r="DF182" s="60"/>
      <c r="DG182" s="60"/>
      <c r="DH182" s="60"/>
      <c r="DI182" s="60"/>
      <c r="DJ182" s="60"/>
    </row>
    <row r="183">
      <c r="DE183" s="60"/>
      <c r="DF183" s="60"/>
      <c r="DG183" s="60"/>
      <c r="DH183" s="60"/>
      <c r="DI183" s="60"/>
      <c r="DJ183" s="60"/>
    </row>
    <row r="184">
      <c r="DE184" s="60"/>
      <c r="DF184" s="60"/>
      <c r="DG184" s="60"/>
      <c r="DH184" s="60"/>
      <c r="DI184" s="60"/>
      <c r="DJ184" s="60"/>
    </row>
    <row r="185">
      <c r="DE185" s="60"/>
      <c r="DF185" s="60"/>
      <c r="DG185" s="60"/>
      <c r="DH185" s="60"/>
      <c r="DI185" s="60"/>
      <c r="DJ185" s="60"/>
    </row>
    <row r="186">
      <c r="DE186" s="60"/>
      <c r="DF186" s="60"/>
      <c r="DG186" s="60"/>
      <c r="DH186" s="60"/>
      <c r="DI186" s="60"/>
      <c r="DJ186" s="60"/>
    </row>
    <row r="187">
      <c r="DE187" s="60"/>
      <c r="DF187" s="60"/>
      <c r="DG187" s="60"/>
      <c r="DH187" s="60"/>
      <c r="DI187" s="60"/>
      <c r="DJ187" s="60"/>
    </row>
    <row r="188">
      <c r="DE188" s="60"/>
      <c r="DF188" s="60"/>
      <c r="DG188" s="60"/>
      <c r="DH188" s="60"/>
      <c r="DI188" s="60"/>
      <c r="DJ188" s="60"/>
    </row>
    <row r="189">
      <c r="DE189" s="60"/>
      <c r="DF189" s="60"/>
      <c r="DG189" s="60"/>
      <c r="DH189" s="60"/>
      <c r="DI189" s="60"/>
      <c r="DJ189" s="60"/>
    </row>
    <row r="190">
      <c r="DE190" s="60"/>
      <c r="DF190" s="60"/>
      <c r="DG190" s="60"/>
      <c r="DH190" s="60"/>
      <c r="DI190" s="60"/>
      <c r="DJ190" s="60"/>
    </row>
    <row r="191">
      <c r="DE191" s="60"/>
      <c r="DF191" s="60"/>
      <c r="DG191" s="60"/>
      <c r="DH191" s="60"/>
      <c r="DI191" s="60"/>
      <c r="DJ191" s="60"/>
    </row>
    <row r="192">
      <c r="DE192" s="60"/>
      <c r="DF192" s="60"/>
      <c r="DG192" s="60"/>
      <c r="DH192" s="60"/>
      <c r="DI192" s="60"/>
      <c r="DJ192" s="60"/>
    </row>
    <row r="193">
      <c r="DE193" s="60"/>
      <c r="DF193" s="60"/>
      <c r="DG193" s="60"/>
      <c r="DH193" s="60"/>
      <c r="DI193" s="60"/>
      <c r="DJ193" s="60"/>
    </row>
    <row r="194">
      <c r="DE194" s="60"/>
      <c r="DF194" s="60"/>
      <c r="DG194" s="60"/>
      <c r="DH194" s="60"/>
      <c r="DI194" s="60"/>
      <c r="DJ194" s="60"/>
    </row>
    <row r="195">
      <c r="DE195" s="60"/>
      <c r="DF195" s="60"/>
      <c r="DG195" s="60"/>
      <c r="DH195" s="60"/>
      <c r="DI195" s="60"/>
      <c r="DJ195" s="60"/>
    </row>
    <row r="196">
      <c r="DE196" s="60"/>
      <c r="DF196" s="60"/>
      <c r="DG196" s="60"/>
      <c r="DH196" s="60"/>
      <c r="DI196" s="60"/>
      <c r="DJ196" s="60"/>
    </row>
    <row r="197">
      <c r="DE197" s="60"/>
      <c r="DF197" s="60"/>
      <c r="DG197" s="60"/>
      <c r="DH197" s="60"/>
      <c r="DI197" s="60"/>
      <c r="DJ197" s="60"/>
    </row>
    <row r="198">
      <c r="DE198" s="60"/>
      <c r="DF198" s="60"/>
      <c r="DG198" s="60"/>
      <c r="DH198" s="60"/>
      <c r="DI198" s="60"/>
      <c r="DJ198" s="60"/>
    </row>
    <row r="199">
      <c r="DE199" s="60"/>
      <c r="DF199" s="60"/>
      <c r="DG199" s="60"/>
      <c r="DH199" s="60"/>
      <c r="DI199" s="60"/>
      <c r="DJ199" s="60"/>
    </row>
    <row r="200">
      <c r="DE200" s="60"/>
      <c r="DF200" s="60"/>
      <c r="DG200" s="60"/>
      <c r="DH200" s="60"/>
      <c r="DI200" s="60"/>
      <c r="DJ200" s="60"/>
    </row>
    <row r="201">
      <c r="DE201" s="60"/>
      <c r="DF201" s="60"/>
      <c r="DG201" s="60"/>
      <c r="DH201" s="60"/>
      <c r="DI201" s="60"/>
      <c r="DJ201" s="60"/>
    </row>
    <row r="202">
      <c r="DE202" s="60"/>
      <c r="DF202" s="60"/>
      <c r="DG202" s="60"/>
      <c r="DH202" s="60"/>
      <c r="DI202" s="60"/>
      <c r="DJ202" s="60"/>
    </row>
    <row r="203">
      <c r="DE203" s="60"/>
      <c r="DF203" s="60"/>
      <c r="DG203" s="60"/>
      <c r="DH203" s="60"/>
      <c r="DI203" s="60"/>
      <c r="DJ203" s="60"/>
    </row>
    <row r="204">
      <c r="DE204" s="60"/>
      <c r="DF204" s="60"/>
      <c r="DG204" s="60"/>
      <c r="DH204" s="60"/>
      <c r="DI204" s="60"/>
      <c r="DJ204" s="60"/>
    </row>
    <row r="205">
      <c r="DE205" s="60"/>
      <c r="DF205" s="60"/>
      <c r="DG205" s="60"/>
      <c r="DH205" s="60"/>
      <c r="DI205" s="60"/>
      <c r="DJ205" s="60"/>
    </row>
    <row r="206">
      <c r="DE206" s="60"/>
      <c r="DF206" s="60"/>
      <c r="DG206" s="60"/>
      <c r="DH206" s="60"/>
      <c r="DI206" s="60"/>
      <c r="DJ206" s="60"/>
    </row>
    <row r="207">
      <c r="DE207" s="60"/>
      <c r="DF207" s="60"/>
      <c r="DG207" s="60"/>
      <c r="DH207" s="60"/>
      <c r="DI207" s="60"/>
      <c r="DJ207" s="60"/>
    </row>
    <row r="208">
      <c r="DE208" s="60"/>
      <c r="DF208" s="60"/>
      <c r="DG208" s="60"/>
      <c r="DH208" s="60"/>
      <c r="DI208" s="60"/>
      <c r="DJ208" s="60"/>
    </row>
    <row r="209">
      <c r="DE209" s="60"/>
      <c r="DF209" s="60"/>
      <c r="DG209" s="60"/>
      <c r="DH209" s="60"/>
      <c r="DI209" s="60"/>
      <c r="DJ209" s="60"/>
    </row>
    <row r="210">
      <c r="DE210" s="60"/>
      <c r="DF210" s="60"/>
      <c r="DG210" s="60"/>
      <c r="DH210" s="60"/>
      <c r="DI210" s="60"/>
      <c r="DJ210" s="60"/>
    </row>
    <row r="211">
      <c r="DE211" s="60"/>
      <c r="DF211" s="60"/>
      <c r="DG211" s="60"/>
      <c r="DH211" s="60"/>
      <c r="DI211" s="60"/>
      <c r="DJ211" s="60"/>
    </row>
    <row r="212">
      <c r="DE212" s="60"/>
      <c r="DF212" s="60"/>
      <c r="DG212" s="60"/>
      <c r="DH212" s="60"/>
      <c r="DI212" s="60"/>
      <c r="DJ212" s="60"/>
    </row>
    <row r="213">
      <c r="DE213" s="60"/>
      <c r="DF213" s="60"/>
      <c r="DG213" s="60"/>
      <c r="DH213" s="60"/>
      <c r="DI213" s="60"/>
      <c r="DJ213" s="60"/>
    </row>
    <row r="214">
      <c r="DE214" s="60"/>
      <c r="DF214" s="60"/>
      <c r="DG214" s="60"/>
      <c r="DH214" s="60"/>
      <c r="DI214" s="60"/>
      <c r="DJ214" s="60"/>
    </row>
    <row r="215">
      <c r="DE215" s="60"/>
      <c r="DF215" s="60"/>
      <c r="DG215" s="60"/>
      <c r="DH215" s="60"/>
      <c r="DI215" s="60"/>
      <c r="DJ215" s="60"/>
    </row>
    <row r="216">
      <c r="DE216" s="60"/>
      <c r="DF216" s="60"/>
      <c r="DG216" s="60"/>
      <c r="DH216" s="60"/>
      <c r="DI216" s="60"/>
      <c r="DJ216" s="60"/>
    </row>
    <row r="217">
      <c r="DE217" s="60"/>
      <c r="DF217" s="60"/>
      <c r="DG217" s="60"/>
      <c r="DH217" s="60"/>
      <c r="DI217" s="60"/>
      <c r="DJ217" s="60"/>
    </row>
    <row r="218">
      <c r="DE218" s="60"/>
      <c r="DF218" s="60"/>
      <c r="DG218" s="60"/>
      <c r="DH218" s="60"/>
      <c r="DI218" s="60"/>
      <c r="DJ218" s="60"/>
    </row>
    <row r="219">
      <c r="DE219" s="60"/>
      <c r="DF219" s="60"/>
      <c r="DG219" s="60"/>
      <c r="DH219" s="60"/>
      <c r="DI219" s="60"/>
      <c r="DJ219" s="60"/>
    </row>
    <row r="220">
      <c r="DE220" s="60"/>
      <c r="DF220" s="60"/>
      <c r="DG220" s="60"/>
      <c r="DH220" s="60"/>
      <c r="DI220" s="60"/>
      <c r="DJ220" s="60"/>
    </row>
    <row r="221">
      <c r="DE221" s="60"/>
      <c r="DF221" s="60"/>
      <c r="DG221" s="60"/>
      <c r="DH221" s="60"/>
      <c r="DI221" s="60"/>
      <c r="DJ221" s="60"/>
    </row>
    <row r="222">
      <c r="DE222" s="60"/>
      <c r="DF222" s="60"/>
      <c r="DG222" s="60"/>
      <c r="DH222" s="60"/>
      <c r="DI222" s="60"/>
      <c r="DJ222" s="60"/>
    </row>
    <row r="223">
      <c r="DE223" s="60"/>
      <c r="DF223" s="60"/>
      <c r="DG223" s="60"/>
      <c r="DH223" s="60"/>
      <c r="DI223" s="60"/>
      <c r="DJ223" s="60"/>
    </row>
    <row r="224">
      <c r="DE224" s="60"/>
      <c r="DF224" s="60"/>
      <c r="DG224" s="60"/>
      <c r="DH224" s="60"/>
      <c r="DI224" s="60"/>
      <c r="DJ224" s="60"/>
    </row>
    <row r="225">
      <c r="DE225" s="60"/>
      <c r="DF225" s="60"/>
      <c r="DG225" s="60"/>
      <c r="DH225" s="60"/>
      <c r="DI225" s="60"/>
      <c r="DJ225" s="60"/>
    </row>
    <row r="226">
      <c r="DE226" s="60"/>
      <c r="DF226" s="60"/>
      <c r="DG226" s="60"/>
      <c r="DH226" s="60"/>
      <c r="DI226" s="60"/>
      <c r="DJ226" s="60"/>
    </row>
    <row r="227">
      <c r="DE227" s="60"/>
      <c r="DF227" s="60"/>
      <c r="DG227" s="60"/>
      <c r="DH227" s="60"/>
      <c r="DI227" s="60"/>
      <c r="DJ227" s="60"/>
    </row>
    <row r="228">
      <c r="DE228" s="60"/>
      <c r="DF228" s="60"/>
      <c r="DG228" s="60"/>
      <c r="DH228" s="60"/>
      <c r="DI228" s="60"/>
      <c r="DJ228" s="60"/>
    </row>
    <row r="229">
      <c r="DE229" s="60"/>
      <c r="DF229" s="60"/>
      <c r="DG229" s="60"/>
      <c r="DH229" s="60"/>
      <c r="DI229" s="60"/>
      <c r="DJ229" s="60"/>
    </row>
    <row r="230">
      <c r="DE230" s="60"/>
      <c r="DF230" s="60"/>
      <c r="DG230" s="60"/>
      <c r="DH230" s="60"/>
      <c r="DI230" s="60"/>
      <c r="DJ230" s="60"/>
    </row>
    <row r="231">
      <c r="DE231" s="60"/>
      <c r="DF231" s="60"/>
      <c r="DG231" s="60"/>
      <c r="DH231" s="60"/>
      <c r="DI231" s="60"/>
      <c r="DJ231" s="60"/>
    </row>
    <row r="232">
      <c r="DE232" s="60"/>
      <c r="DF232" s="60"/>
      <c r="DG232" s="60"/>
      <c r="DH232" s="60"/>
      <c r="DI232" s="60"/>
      <c r="DJ232" s="60"/>
    </row>
    <row r="233">
      <c r="DE233" s="60"/>
      <c r="DF233" s="60"/>
      <c r="DG233" s="60"/>
      <c r="DH233" s="60"/>
      <c r="DI233" s="60"/>
      <c r="DJ233" s="60"/>
    </row>
    <row r="234">
      <c r="DE234" s="60"/>
      <c r="DF234" s="60"/>
      <c r="DG234" s="60"/>
      <c r="DH234" s="60"/>
      <c r="DI234" s="60"/>
      <c r="DJ234" s="60"/>
    </row>
    <row r="235">
      <c r="DE235" s="60"/>
      <c r="DF235" s="60"/>
      <c r="DG235" s="60"/>
      <c r="DH235" s="60"/>
      <c r="DI235" s="60"/>
      <c r="DJ235" s="60"/>
    </row>
    <row r="236">
      <c r="DE236" s="60"/>
      <c r="DF236" s="60"/>
      <c r="DG236" s="60"/>
      <c r="DH236" s="60"/>
      <c r="DI236" s="60"/>
      <c r="DJ236" s="60"/>
    </row>
    <row r="237">
      <c r="DE237" s="60"/>
      <c r="DF237" s="60"/>
      <c r="DG237" s="60"/>
      <c r="DH237" s="60"/>
      <c r="DI237" s="60"/>
      <c r="DJ237" s="60"/>
    </row>
    <row r="238">
      <c r="DE238" s="60"/>
      <c r="DF238" s="60"/>
      <c r="DG238" s="60"/>
      <c r="DH238" s="60"/>
      <c r="DI238" s="60"/>
      <c r="DJ238" s="60"/>
    </row>
    <row r="239">
      <c r="DE239" s="60"/>
      <c r="DF239" s="60"/>
      <c r="DG239" s="60"/>
      <c r="DH239" s="60"/>
      <c r="DI239" s="60"/>
      <c r="DJ239" s="60"/>
    </row>
    <row r="240">
      <c r="DE240" s="60"/>
      <c r="DF240" s="60"/>
      <c r="DG240" s="60"/>
      <c r="DH240" s="60"/>
      <c r="DI240" s="60"/>
      <c r="DJ240" s="60"/>
    </row>
    <row r="241">
      <c r="DE241" s="60"/>
      <c r="DF241" s="60"/>
      <c r="DG241" s="60"/>
      <c r="DH241" s="60"/>
      <c r="DI241" s="60"/>
      <c r="DJ241" s="60"/>
    </row>
    <row r="242">
      <c r="DE242" s="60"/>
      <c r="DF242" s="60"/>
      <c r="DG242" s="60"/>
      <c r="DH242" s="60"/>
      <c r="DI242" s="60"/>
      <c r="DJ242" s="60"/>
    </row>
    <row r="243">
      <c r="DE243" s="60"/>
      <c r="DF243" s="60"/>
      <c r="DG243" s="60"/>
      <c r="DH243" s="60"/>
      <c r="DI243" s="60"/>
      <c r="DJ243" s="60"/>
    </row>
    <row r="244">
      <c r="DE244" s="60"/>
      <c r="DF244" s="60"/>
      <c r="DG244" s="60"/>
      <c r="DH244" s="60"/>
      <c r="DI244" s="60"/>
      <c r="DJ244" s="60"/>
    </row>
    <row r="245">
      <c r="DE245" s="60"/>
      <c r="DF245" s="60"/>
      <c r="DG245" s="60"/>
      <c r="DH245" s="60"/>
      <c r="DI245" s="60"/>
      <c r="DJ245" s="60"/>
    </row>
    <row r="246">
      <c r="DE246" s="60"/>
      <c r="DF246" s="60"/>
      <c r="DG246" s="60"/>
      <c r="DH246" s="60"/>
      <c r="DI246" s="60"/>
      <c r="DJ246" s="60"/>
    </row>
    <row r="247">
      <c r="DE247" s="60"/>
      <c r="DF247" s="60"/>
      <c r="DG247" s="60"/>
      <c r="DH247" s="60"/>
      <c r="DI247" s="60"/>
      <c r="DJ247" s="60"/>
    </row>
    <row r="248">
      <c r="DE248" s="60"/>
      <c r="DF248" s="60"/>
      <c r="DG248" s="60"/>
      <c r="DH248" s="60"/>
      <c r="DI248" s="60"/>
      <c r="DJ248" s="60"/>
    </row>
    <row r="249">
      <c r="DE249" s="60"/>
      <c r="DF249" s="60"/>
      <c r="DG249" s="60"/>
      <c r="DH249" s="60"/>
      <c r="DI249" s="60"/>
      <c r="DJ249" s="60"/>
    </row>
    <row r="250">
      <c r="DE250" s="60"/>
      <c r="DF250" s="60"/>
      <c r="DG250" s="60"/>
      <c r="DH250" s="60"/>
      <c r="DI250" s="60"/>
      <c r="DJ250" s="60"/>
    </row>
    <row r="251">
      <c r="DE251" s="60"/>
      <c r="DF251" s="60"/>
      <c r="DG251" s="60"/>
      <c r="DH251" s="60"/>
      <c r="DI251" s="60"/>
      <c r="DJ251" s="60"/>
    </row>
    <row r="252">
      <c r="DE252" s="60"/>
      <c r="DF252" s="60"/>
      <c r="DG252" s="60"/>
      <c r="DH252" s="60"/>
      <c r="DI252" s="60"/>
      <c r="DJ252" s="60"/>
    </row>
    <row r="253">
      <c r="DE253" s="60"/>
      <c r="DF253" s="60"/>
      <c r="DG253" s="60"/>
      <c r="DH253" s="60"/>
      <c r="DI253" s="60"/>
      <c r="DJ253" s="60"/>
    </row>
    <row r="254">
      <c r="DE254" s="60"/>
      <c r="DF254" s="60"/>
      <c r="DG254" s="60"/>
      <c r="DH254" s="60"/>
      <c r="DI254" s="60"/>
      <c r="DJ254" s="60"/>
    </row>
    <row r="255">
      <c r="DE255" s="60"/>
      <c r="DF255" s="60"/>
      <c r="DG255" s="60"/>
      <c r="DH255" s="60"/>
      <c r="DI255" s="60"/>
      <c r="DJ255" s="60"/>
    </row>
    <row r="256">
      <c r="DE256" s="60"/>
      <c r="DF256" s="60"/>
      <c r="DG256" s="60"/>
      <c r="DH256" s="60"/>
      <c r="DI256" s="60"/>
      <c r="DJ256" s="60"/>
    </row>
    <row r="257">
      <c r="DE257" s="60"/>
      <c r="DF257" s="60"/>
      <c r="DG257" s="60"/>
      <c r="DH257" s="60"/>
      <c r="DI257" s="60"/>
      <c r="DJ257" s="60"/>
    </row>
    <row r="258">
      <c r="DE258" s="60"/>
      <c r="DF258" s="60"/>
      <c r="DG258" s="60"/>
      <c r="DH258" s="60"/>
      <c r="DI258" s="60"/>
      <c r="DJ258" s="60"/>
    </row>
    <row r="259">
      <c r="DE259" s="60"/>
      <c r="DF259" s="60"/>
      <c r="DG259" s="60"/>
      <c r="DH259" s="60"/>
      <c r="DI259" s="60"/>
      <c r="DJ259" s="60"/>
    </row>
    <row r="260">
      <c r="DE260" s="60"/>
      <c r="DF260" s="60"/>
      <c r="DG260" s="60"/>
      <c r="DH260" s="60"/>
      <c r="DI260" s="60"/>
      <c r="DJ260" s="60"/>
    </row>
    <row r="261">
      <c r="DE261" s="60"/>
      <c r="DF261" s="60"/>
      <c r="DG261" s="60"/>
      <c r="DH261" s="60"/>
      <c r="DI261" s="60"/>
      <c r="DJ261" s="60"/>
    </row>
    <row r="262">
      <c r="DE262" s="60"/>
      <c r="DF262" s="60"/>
      <c r="DG262" s="60"/>
      <c r="DH262" s="60"/>
      <c r="DI262" s="60"/>
      <c r="DJ262" s="60"/>
    </row>
    <row r="263">
      <c r="DE263" s="60"/>
      <c r="DF263" s="60"/>
      <c r="DG263" s="60"/>
      <c r="DH263" s="60"/>
      <c r="DI263" s="60"/>
      <c r="DJ263" s="60"/>
    </row>
    <row r="264">
      <c r="DE264" s="60"/>
      <c r="DF264" s="60"/>
      <c r="DG264" s="60"/>
      <c r="DH264" s="60"/>
      <c r="DI264" s="60"/>
      <c r="DJ264" s="60"/>
    </row>
    <row r="265">
      <c r="DE265" s="60"/>
      <c r="DF265" s="60"/>
      <c r="DG265" s="60"/>
      <c r="DH265" s="60"/>
      <c r="DI265" s="60"/>
      <c r="DJ265" s="60"/>
    </row>
    <row r="266">
      <c r="DE266" s="60"/>
      <c r="DF266" s="60"/>
      <c r="DG266" s="60"/>
      <c r="DH266" s="60"/>
      <c r="DI266" s="60"/>
      <c r="DJ266" s="60"/>
    </row>
    <row r="267">
      <c r="DE267" s="60"/>
      <c r="DF267" s="60"/>
      <c r="DG267" s="60"/>
      <c r="DH267" s="60"/>
      <c r="DI267" s="60"/>
      <c r="DJ267" s="60"/>
    </row>
    <row r="268">
      <c r="DE268" s="60"/>
      <c r="DF268" s="60"/>
      <c r="DG268" s="60"/>
      <c r="DH268" s="60"/>
      <c r="DI268" s="60"/>
      <c r="DJ268" s="60"/>
    </row>
    <row r="269">
      <c r="DE269" s="60"/>
      <c r="DF269" s="60"/>
      <c r="DG269" s="60"/>
      <c r="DH269" s="60"/>
      <c r="DI269" s="60"/>
      <c r="DJ269" s="60"/>
    </row>
    <row r="270">
      <c r="DE270" s="60"/>
      <c r="DF270" s="60"/>
      <c r="DG270" s="60"/>
      <c r="DH270" s="60"/>
      <c r="DI270" s="60"/>
      <c r="DJ270" s="60"/>
    </row>
    <row r="271">
      <c r="DE271" s="60"/>
      <c r="DF271" s="60"/>
      <c r="DG271" s="60"/>
      <c r="DH271" s="60"/>
      <c r="DI271" s="60"/>
      <c r="DJ271" s="60"/>
    </row>
    <row r="272">
      <c r="DE272" s="60"/>
      <c r="DF272" s="60"/>
      <c r="DG272" s="60"/>
      <c r="DH272" s="60"/>
      <c r="DI272" s="60"/>
      <c r="DJ272" s="60"/>
    </row>
    <row r="273">
      <c r="DE273" s="60"/>
      <c r="DF273" s="60"/>
      <c r="DG273" s="60"/>
      <c r="DH273" s="60"/>
      <c r="DI273" s="60"/>
      <c r="DJ273" s="60"/>
    </row>
    <row r="274">
      <c r="DE274" s="60"/>
      <c r="DF274" s="60"/>
      <c r="DG274" s="60"/>
      <c r="DH274" s="60"/>
      <c r="DI274" s="60"/>
      <c r="DJ274" s="60"/>
    </row>
    <row r="275">
      <c r="DE275" s="60"/>
      <c r="DF275" s="60"/>
      <c r="DG275" s="60"/>
      <c r="DH275" s="60"/>
      <c r="DI275" s="60"/>
      <c r="DJ275" s="60"/>
    </row>
    <row r="276">
      <c r="DE276" s="60"/>
      <c r="DF276" s="60"/>
      <c r="DG276" s="60"/>
      <c r="DH276" s="60"/>
      <c r="DI276" s="60"/>
      <c r="DJ276" s="60"/>
    </row>
    <row r="277">
      <c r="DE277" s="60"/>
      <c r="DF277" s="60"/>
      <c r="DG277" s="60"/>
      <c r="DH277" s="60"/>
      <c r="DI277" s="60"/>
      <c r="DJ277" s="60"/>
    </row>
    <row r="278">
      <c r="DE278" s="60"/>
      <c r="DF278" s="60"/>
      <c r="DG278" s="60"/>
      <c r="DH278" s="60"/>
      <c r="DI278" s="60"/>
      <c r="DJ278" s="60"/>
    </row>
    <row r="279">
      <c r="DE279" s="60"/>
      <c r="DF279" s="60"/>
      <c r="DG279" s="60"/>
      <c r="DH279" s="60"/>
      <c r="DI279" s="60"/>
      <c r="DJ279" s="60"/>
    </row>
    <row r="280">
      <c r="DE280" s="60"/>
      <c r="DF280" s="60"/>
      <c r="DG280" s="60"/>
      <c r="DH280" s="60"/>
      <c r="DI280" s="60"/>
      <c r="DJ280" s="60"/>
    </row>
    <row r="281">
      <c r="DE281" s="60"/>
      <c r="DF281" s="60"/>
      <c r="DG281" s="60"/>
      <c r="DH281" s="60"/>
      <c r="DI281" s="60"/>
      <c r="DJ281" s="60"/>
    </row>
    <row r="282">
      <c r="DE282" s="60"/>
      <c r="DF282" s="60"/>
      <c r="DG282" s="60"/>
      <c r="DH282" s="60"/>
      <c r="DI282" s="60"/>
      <c r="DJ282" s="60"/>
    </row>
    <row r="283">
      <c r="DE283" s="60"/>
      <c r="DF283" s="60"/>
      <c r="DG283" s="60"/>
      <c r="DH283" s="60"/>
      <c r="DI283" s="60"/>
      <c r="DJ283" s="60"/>
    </row>
    <row r="284">
      <c r="DE284" s="60"/>
      <c r="DF284" s="60"/>
      <c r="DG284" s="60"/>
      <c r="DH284" s="60"/>
      <c r="DI284" s="60"/>
      <c r="DJ284" s="60"/>
    </row>
    <row r="285">
      <c r="DE285" s="60"/>
      <c r="DF285" s="60"/>
      <c r="DG285" s="60"/>
      <c r="DH285" s="60"/>
      <c r="DI285" s="60"/>
      <c r="DJ285" s="60"/>
    </row>
    <row r="286">
      <c r="DE286" s="60"/>
      <c r="DF286" s="60"/>
      <c r="DG286" s="60"/>
      <c r="DH286" s="60"/>
      <c r="DI286" s="60"/>
      <c r="DJ286" s="60"/>
    </row>
    <row r="287">
      <c r="DE287" s="60"/>
      <c r="DF287" s="60"/>
      <c r="DG287" s="60"/>
      <c r="DH287" s="60"/>
      <c r="DI287" s="60"/>
      <c r="DJ287" s="60"/>
    </row>
    <row r="288">
      <c r="DE288" s="60"/>
      <c r="DF288" s="60"/>
      <c r="DG288" s="60"/>
      <c r="DH288" s="60"/>
      <c r="DI288" s="60"/>
      <c r="DJ288" s="60"/>
    </row>
    <row r="289">
      <c r="DE289" s="60"/>
      <c r="DF289" s="60"/>
      <c r="DG289" s="60"/>
      <c r="DH289" s="60"/>
      <c r="DI289" s="60"/>
      <c r="DJ289" s="60"/>
    </row>
    <row r="290">
      <c r="DE290" s="60"/>
      <c r="DF290" s="60"/>
      <c r="DG290" s="60"/>
      <c r="DH290" s="60"/>
      <c r="DI290" s="60"/>
      <c r="DJ290" s="60"/>
    </row>
    <row r="291">
      <c r="DE291" s="60"/>
      <c r="DF291" s="60"/>
      <c r="DG291" s="60"/>
      <c r="DH291" s="60"/>
      <c r="DI291" s="60"/>
      <c r="DJ291" s="60"/>
    </row>
    <row r="292">
      <c r="DE292" s="60"/>
      <c r="DF292" s="60"/>
      <c r="DG292" s="60"/>
      <c r="DH292" s="60"/>
      <c r="DI292" s="60"/>
      <c r="DJ292" s="60"/>
    </row>
    <row r="293">
      <c r="DE293" s="60"/>
      <c r="DF293" s="60"/>
      <c r="DG293" s="60"/>
      <c r="DH293" s="60"/>
      <c r="DI293" s="60"/>
      <c r="DJ293" s="60"/>
    </row>
    <row r="294">
      <c r="DE294" s="60"/>
      <c r="DF294" s="60"/>
      <c r="DG294" s="60"/>
      <c r="DH294" s="60"/>
      <c r="DI294" s="60"/>
      <c r="DJ294" s="60"/>
    </row>
    <row r="295">
      <c r="DE295" s="60"/>
      <c r="DF295" s="60"/>
      <c r="DG295" s="60"/>
      <c r="DH295" s="60"/>
      <c r="DI295" s="60"/>
      <c r="DJ295" s="60"/>
    </row>
    <row r="296">
      <c r="DE296" s="60"/>
      <c r="DF296" s="60"/>
      <c r="DG296" s="60"/>
      <c r="DH296" s="60"/>
      <c r="DI296" s="60"/>
      <c r="DJ296" s="60"/>
    </row>
    <row r="297">
      <c r="DE297" s="60"/>
      <c r="DF297" s="60"/>
      <c r="DG297" s="60"/>
      <c r="DH297" s="60"/>
      <c r="DI297" s="60"/>
      <c r="DJ297" s="60"/>
    </row>
    <row r="298">
      <c r="DE298" s="60"/>
      <c r="DF298" s="60"/>
      <c r="DG298" s="60"/>
      <c r="DH298" s="60"/>
      <c r="DI298" s="60"/>
      <c r="DJ298" s="60"/>
    </row>
    <row r="299">
      <c r="DE299" s="60"/>
      <c r="DF299" s="60"/>
      <c r="DG299" s="60"/>
      <c r="DH299" s="60"/>
      <c r="DI299" s="60"/>
      <c r="DJ299" s="60"/>
    </row>
    <row r="300">
      <c r="DE300" s="60"/>
      <c r="DF300" s="60"/>
      <c r="DG300" s="60"/>
      <c r="DH300" s="60"/>
      <c r="DI300" s="60"/>
      <c r="DJ300" s="60"/>
    </row>
    <row r="301">
      <c r="DE301" s="60"/>
      <c r="DF301" s="60"/>
      <c r="DG301" s="60"/>
      <c r="DH301" s="60"/>
      <c r="DI301" s="60"/>
      <c r="DJ301" s="60"/>
    </row>
    <row r="302">
      <c r="DE302" s="60"/>
      <c r="DF302" s="60"/>
      <c r="DG302" s="60"/>
      <c r="DH302" s="60"/>
      <c r="DI302" s="60"/>
      <c r="DJ302" s="60"/>
    </row>
    <row r="303">
      <c r="DE303" s="60"/>
      <c r="DF303" s="60"/>
      <c r="DG303" s="60"/>
      <c r="DH303" s="60"/>
      <c r="DI303" s="60"/>
      <c r="DJ303" s="60"/>
    </row>
    <row r="304">
      <c r="DE304" s="60"/>
      <c r="DF304" s="60"/>
      <c r="DG304" s="60"/>
      <c r="DH304" s="60"/>
      <c r="DI304" s="60"/>
      <c r="DJ304" s="60"/>
    </row>
    <row r="305">
      <c r="DE305" s="60"/>
      <c r="DF305" s="60"/>
      <c r="DG305" s="60"/>
      <c r="DH305" s="60"/>
      <c r="DI305" s="60"/>
      <c r="DJ305" s="60"/>
    </row>
    <row r="306">
      <c r="DE306" s="60"/>
      <c r="DF306" s="60"/>
      <c r="DG306" s="60"/>
      <c r="DH306" s="60"/>
      <c r="DI306" s="60"/>
      <c r="DJ306" s="60"/>
    </row>
    <row r="307">
      <c r="DE307" s="60"/>
      <c r="DF307" s="60"/>
      <c r="DG307" s="60"/>
      <c r="DH307" s="60"/>
      <c r="DI307" s="60"/>
      <c r="DJ307" s="60"/>
    </row>
    <row r="308">
      <c r="DE308" s="60"/>
      <c r="DF308" s="60"/>
      <c r="DG308" s="60"/>
      <c r="DH308" s="60"/>
      <c r="DI308" s="60"/>
      <c r="DJ308" s="60"/>
    </row>
    <row r="309">
      <c r="DE309" s="60"/>
      <c r="DF309" s="60"/>
      <c r="DG309" s="60"/>
      <c r="DH309" s="60"/>
      <c r="DI309" s="60"/>
      <c r="DJ309" s="60"/>
    </row>
    <row r="310">
      <c r="DE310" s="60"/>
      <c r="DF310" s="60"/>
      <c r="DG310" s="60"/>
      <c r="DH310" s="60"/>
      <c r="DI310" s="60"/>
      <c r="DJ310" s="60"/>
    </row>
    <row r="311">
      <c r="DE311" s="60"/>
      <c r="DF311" s="60"/>
      <c r="DG311" s="60"/>
      <c r="DH311" s="60"/>
      <c r="DI311" s="60"/>
      <c r="DJ311" s="60"/>
    </row>
    <row r="312">
      <c r="DE312" s="60"/>
      <c r="DF312" s="60"/>
      <c r="DG312" s="60"/>
      <c r="DH312" s="60"/>
      <c r="DI312" s="60"/>
      <c r="DJ312" s="60"/>
    </row>
    <row r="313">
      <c r="DE313" s="60"/>
      <c r="DF313" s="60"/>
      <c r="DG313" s="60"/>
      <c r="DH313" s="60"/>
      <c r="DI313" s="60"/>
      <c r="DJ313" s="60"/>
    </row>
    <row r="314">
      <c r="DE314" s="60"/>
      <c r="DF314" s="60"/>
      <c r="DG314" s="60"/>
      <c r="DH314" s="60"/>
      <c r="DI314" s="60"/>
      <c r="DJ314" s="60"/>
    </row>
    <row r="315">
      <c r="DE315" s="60"/>
      <c r="DF315" s="60"/>
      <c r="DG315" s="60"/>
      <c r="DH315" s="60"/>
      <c r="DI315" s="60"/>
      <c r="DJ315" s="60"/>
    </row>
    <row r="316">
      <c r="DE316" s="60"/>
      <c r="DF316" s="60"/>
      <c r="DG316" s="60"/>
      <c r="DH316" s="60"/>
      <c r="DI316" s="60"/>
      <c r="DJ316" s="60"/>
    </row>
    <row r="317">
      <c r="DE317" s="60"/>
      <c r="DF317" s="60"/>
      <c r="DG317" s="60"/>
      <c r="DH317" s="60"/>
      <c r="DI317" s="60"/>
      <c r="DJ317" s="60"/>
    </row>
    <row r="318">
      <c r="DE318" s="60"/>
      <c r="DF318" s="60"/>
      <c r="DG318" s="60"/>
      <c r="DH318" s="60"/>
      <c r="DI318" s="60"/>
      <c r="DJ318" s="60"/>
    </row>
    <row r="319">
      <c r="DE319" s="60"/>
      <c r="DF319" s="60"/>
      <c r="DG319" s="60"/>
      <c r="DH319" s="60"/>
      <c r="DI319" s="60"/>
      <c r="DJ319" s="60"/>
    </row>
    <row r="320">
      <c r="DE320" s="60"/>
      <c r="DF320" s="60"/>
      <c r="DG320" s="60"/>
      <c r="DH320" s="60"/>
      <c r="DI320" s="60"/>
      <c r="DJ320" s="60"/>
    </row>
    <row r="321">
      <c r="DE321" s="60"/>
      <c r="DF321" s="60"/>
      <c r="DG321" s="60"/>
      <c r="DH321" s="60"/>
      <c r="DI321" s="60"/>
      <c r="DJ321" s="60"/>
    </row>
    <row r="322">
      <c r="DE322" s="60"/>
      <c r="DF322" s="60"/>
      <c r="DG322" s="60"/>
      <c r="DH322" s="60"/>
      <c r="DI322" s="60"/>
      <c r="DJ322" s="60"/>
    </row>
    <row r="323">
      <c r="DE323" s="60"/>
      <c r="DF323" s="60"/>
      <c r="DG323" s="60"/>
      <c r="DH323" s="60"/>
      <c r="DI323" s="60"/>
      <c r="DJ323" s="60"/>
    </row>
    <row r="324">
      <c r="DE324" s="60"/>
      <c r="DF324" s="60"/>
      <c r="DG324" s="60"/>
      <c r="DH324" s="60"/>
      <c r="DI324" s="60"/>
      <c r="DJ324" s="60"/>
    </row>
    <row r="325">
      <c r="DE325" s="60"/>
      <c r="DF325" s="60"/>
      <c r="DG325" s="60"/>
      <c r="DH325" s="60"/>
      <c r="DI325" s="60"/>
      <c r="DJ325" s="60"/>
    </row>
    <row r="326">
      <c r="DE326" s="60"/>
      <c r="DF326" s="60"/>
      <c r="DG326" s="60"/>
      <c r="DH326" s="60"/>
      <c r="DI326" s="60"/>
      <c r="DJ326" s="60"/>
    </row>
    <row r="327">
      <c r="DE327" s="60"/>
      <c r="DF327" s="60"/>
      <c r="DG327" s="60"/>
      <c r="DH327" s="60"/>
      <c r="DI327" s="60"/>
      <c r="DJ327" s="60"/>
    </row>
    <row r="328">
      <c r="DE328" s="60"/>
      <c r="DF328" s="60"/>
      <c r="DG328" s="60"/>
      <c r="DH328" s="60"/>
      <c r="DI328" s="60"/>
      <c r="DJ328" s="60"/>
    </row>
    <row r="329">
      <c r="DE329" s="60"/>
      <c r="DF329" s="60"/>
      <c r="DG329" s="60"/>
      <c r="DH329" s="60"/>
      <c r="DI329" s="60"/>
      <c r="DJ329" s="60"/>
    </row>
    <row r="330">
      <c r="DE330" s="60"/>
      <c r="DF330" s="60"/>
      <c r="DG330" s="60"/>
      <c r="DH330" s="60"/>
      <c r="DI330" s="60"/>
      <c r="DJ330" s="60"/>
    </row>
    <row r="331">
      <c r="DE331" s="60"/>
      <c r="DF331" s="60"/>
      <c r="DG331" s="60"/>
      <c r="DH331" s="60"/>
      <c r="DI331" s="60"/>
      <c r="DJ331" s="60"/>
    </row>
    <row r="332">
      <c r="DE332" s="60"/>
      <c r="DF332" s="60"/>
      <c r="DG332" s="60"/>
      <c r="DH332" s="60"/>
      <c r="DI332" s="60"/>
      <c r="DJ332" s="60"/>
    </row>
    <row r="333">
      <c r="DE333" s="60"/>
      <c r="DF333" s="60"/>
      <c r="DG333" s="60"/>
      <c r="DH333" s="60"/>
      <c r="DI333" s="60"/>
      <c r="DJ333" s="60"/>
    </row>
    <row r="334">
      <c r="DE334" s="60"/>
      <c r="DF334" s="60"/>
      <c r="DG334" s="60"/>
      <c r="DH334" s="60"/>
      <c r="DI334" s="60"/>
      <c r="DJ334" s="60"/>
    </row>
    <row r="335">
      <c r="DE335" s="60"/>
      <c r="DF335" s="60"/>
      <c r="DG335" s="60"/>
      <c r="DH335" s="60"/>
      <c r="DI335" s="60"/>
      <c r="DJ335" s="60"/>
    </row>
    <row r="336">
      <c r="DE336" s="60"/>
      <c r="DF336" s="60"/>
      <c r="DG336" s="60"/>
      <c r="DH336" s="60"/>
      <c r="DI336" s="60"/>
      <c r="DJ336" s="60"/>
    </row>
    <row r="337">
      <c r="DE337" s="60"/>
      <c r="DF337" s="60"/>
      <c r="DG337" s="60"/>
      <c r="DH337" s="60"/>
      <c r="DI337" s="60"/>
      <c r="DJ337" s="60"/>
    </row>
    <row r="338">
      <c r="DE338" s="60"/>
      <c r="DF338" s="60"/>
      <c r="DG338" s="60"/>
      <c r="DH338" s="60"/>
      <c r="DI338" s="60"/>
      <c r="DJ338" s="60"/>
    </row>
    <row r="339">
      <c r="DE339" s="60"/>
      <c r="DF339" s="60"/>
      <c r="DG339" s="60"/>
      <c r="DH339" s="60"/>
      <c r="DI339" s="60"/>
      <c r="DJ339" s="60"/>
    </row>
    <row r="340">
      <c r="DE340" s="60"/>
      <c r="DF340" s="60"/>
      <c r="DG340" s="60"/>
      <c r="DH340" s="60"/>
      <c r="DI340" s="60"/>
      <c r="DJ340" s="60"/>
    </row>
    <row r="341">
      <c r="DE341" s="60"/>
      <c r="DF341" s="60"/>
      <c r="DG341" s="60"/>
      <c r="DH341" s="60"/>
      <c r="DI341" s="60"/>
      <c r="DJ341" s="60"/>
    </row>
    <row r="342">
      <c r="DE342" s="60"/>
      <c r="DF342" s="60"/>
      <c r="DG342" s="60"/>
      <c r="DH342" s="60"/>
      <c r="DI342" s="60"/>
      <c r="DJ342" s="60"/>
    </row>
    <row r="343">
      <c r="DE343" s="60"/>
      <c r="DF343" s="60"/>
      <c r="DG343" s="60"/>
      <c r="DH343" s="60"/>
      <c r="DI343" s="60"/>
      <c r="DJ343" s="60"/>
    </row>
    <row r="344">
      <c r="DE344" s="60"/>
      <c r="DF344" s="60"/>
      <c r="DG344" s="60"/>
      <c r="DH344" s="60"/>
      <c r="DI344" s="60"/>
      <c r="DJ344" s="60"/>
    </row>
    <row r="345">
      <c r="DE345" s="60"/>
      <c r="DF345" s="60"/>
      <c r="DG345" s="60"/>
      <c r="DH345" s="60"/>
      <c r="DI345" s="60"/>
      <c r="DJ345" s="60"/>
    </row>
    <row r="346">
      <c r="DE346" s="60"/>
      <c r="DF346" s="60"/>
      <c r="DG346" s="60"/>
      <c r="DH346" s="60"/>
      <c r="DI346" s="60"/>
      <c r="DJ346" s="60"/>
    </row>
    <row r="347">
      <c r="DE347" s="60"/>
      <c r="DF347" s="60"/>
      <c r="DG347" s="60"/>
      <c r="DH347" s="60"/>
      <c r="DI347" s="60"/>
      <c r="DJ347" s="60"/>
    </row>
    <row r="348">
      <c r="DE348" s="60"/>
      <c r="DF348" s="60"/>
      <c r="DG348" s="60"/>
      <c r="DH348" s="60"/>
      <c r="DI348" s="60"/>
      <c r="DJ348" s="60"/>
    </row>
    <row r="349">
      <c r="DE349" s="60"/>
      <c r="DF349" s="60"/>
      <c r="DG349" s="60"/>
      <c r="DH349" s="60"/>
      <c r="DI349" s="60"/>
      <c r="DJ349" s="60"/>
    </row>
    <row r="350">
      <c r="DE350" s="60"/>
      <c r="DF350" s="60"/>
      <c r="DG350" s="60"/>
      <c r="DH350" s="60"/>
      <c r="DI350" s="60"/>
      <c r="DJ350" s="60"/>
    </row>
    <row r="351">
      <c r="DE351" s="60"/>
      <c r="DF351" s="60"/>
      <c r="DG351" s="60"/>
      <c r="DH351" s="60"/>
      <c r="DI351" s="60"/>
      <c r="DJ351" s="60"/>
    </row>
    <row r="352">
      <c r="DE352" s="60"/>
      <c r="DF352" s="60"/>
      <c r="DG352" s="60"/>
      <c r="DH352" s="60"/>
      <c r="DI352" s="60"/>
      <c r="DJ352" s="60"/>
    </row>
    <row r="353">
      <c r="DE353" s="60"/>
      <c r="DF353" s="60"/>
      <c r="DG353" s="60"/>
      <c r="DH353" s="60"/>
      <c r="DI353" s="60"/>
      <c r="DJ353" s="60"/>
    </row>
    <row r="354">
      <c r="DE354" s="60"/>
      <c r="DF354" s="60"/>
      <c r="DG354" s="60"/>
      <c r="DH354" s="60"/>
      <c r="DI354" s="60"/>
      <c r="DJ354" s="60"/>
    </row>
    <row r="355">
      <c r="DE355" s="60"/>
      <c r="DF355" s="60"/>
      <c r="DG355" s="60"/>
      <c r="DH355" s="60"/>
      <c r="DI355" s="60"/>
      <c r="DJ355" s="60"/>
    </row>
    <row r="356">
      <c r="DE356" s="60"/>
      <c r="DF356" s="60"/>
      <c r="DG356" s="60"/>
      <c r="DH356" s="60"/>
      <c r="DI356" s="60"/>
      <c r="DJ356" s="60"/>
    </row>
    <row r="357">
      <c r="DE357" s="60"/>
      <c r="DF357" s="60"/>
      <c r="DG357" s="60"/>
      <c r="DH357" s="60"/>
      <c r="DI357" s="60"/>
      <c r="DJ357" s="60"/>
    </row>
    <row r="358">
      <c r="DE358" s="60"/>
      <c r="DF358" s="60"/>
      <c r="DG358" s="60"/>
      <c r="DH358" s="60"/>
      <c r="DI358" s="60"/>
      <c r="DJ358" s="60"/>
    </row>
    <row r="359">
      <c r="DE359" s="60"/>
      <c r="DF359" s="60"/>
      <c r="DG359" s="60"/>
      <c r="DH359" s="60"/>
      <c r="DI359" s="60"/>
      <c r="DJ359" s="60"/>
    </row>
    <row r="360">
      <c r="DE360" s="60"/>
      <c r="DF360" s="60"/>
      <c r="DG360" s="60"/>
      <c r="DH360" s="60"/>
      <c r="DI360" s="60"/>
      <c r="DJ360" s="60"/>
    </row>
    <row r="361">
      <c r="DE361" s="60"/>
      <c r="DF361" s="60"/>
      <c r="DG361" s="60"/>
      <c r="DH361" s="60"/>
      <c r="DI361" s="60"/>
      <c r="DJ361" s="60"/>
    </row>
    <row r="362">
      <c r="DE362" s="60"/>
      <c r="DF362" s="60"/>
      <c r="DG362" s="60"/>
      <c r="DH362" s="60"/>
      <c r="DI362" s="60"/>
      <c r="DJ362" s="60"/>
    </row>
    <row r="363">
      <c r="DE363" s="60"/>
      <c r="DF363" s="60"/>
      <c r="DG363" s="60"/>
      <c r="DH363" s="60"/>
      <c r="DI363" s="60"/>
      <c r="DJ363" s="60"/>
    </row>
    <row r="364">
      <c r="DE364" s="60"/>
      <c r="DF364" s="60"/>
      <c r="DG364" s="60"/>
      <c r="DH364" s="60"/>
      <c r="DI364" s="60"/>
      <c r="DJ364" s="60"/>
    </row>
    <row r="365">
      <c r="DE365" s="60"/>
      <c r="DF365" s="60"/>
      <c r="DG365" s="60"/>
      <c r="DH365" s="60"/>
      <c r="DI365" s="60"/>
      <c r="DJ365" s="60"/>
    </row>
    <row r="366">
      <c r="DE366" s="60"/>
      <c r="DF366" s="60"/>
      <c r="DG366" s="60"/>
      <c r="DH366" s="60"/>
      <c r="DI366" s="60"/>
      <c r="DJ366" s="60"/>
    </row>
    <row r="367">
      <c r="DE367" s="60"/>
      <c r="DF367" s="60"/>
      <c r="DG367" s="60"/>
      <c r="DH367" s="60"/>
      <c r="DI367" s="60"/>
      <c r="DJ367" s="60"/>
    </row>
    <row r="368">
      <c r="DE368" s="60"/>
      <c r="DF368" s="60"/>
      <c r="DG368" s="60"/>
      <c r="DH368" s="60"/>
      <c r="DI368" s="60"/>
      <c r="DJ368" s="60"/>
    </row>
    <row r="369">
      <c r="DE369" s="60"/>
      <c r="DF369" s="60"/>
      <c r="DG369" s="60"/>
      <c r="DH369" s="60"/>
      <c r="DI369" s="60"/>
      <c r="DJ369" s="60"/>
    </row>
    <row r="370">
      <c r="DE370" s="60"/>
      <c r="DF370" s="60"/>
      <c r="DG370" s="60"/>
      <c r="DH370" s="60"/>
      <c r="DI370" s="60"/>
      <c r="DJ370" s="60"/>
    </row>
    <row r="371">
      <c r="DE371" s="60"/>
      <c r="DF371" s="60"/>
      <c r="DG371" s="60"/>
      <c r="DH371" s="60"/>
      <c r="DI371" s="60"/>
      <c r="DJ371" s="60"/>
    </row>
    <row r="372">
      <c r="DE372" s="60"/>
      <c r="DF372" s="60"/>
      <c r="DG372" s="60"/>
      <c r="DH372" s="60"/>
      <c r="DI372" s="60"/>
      <c r="DJ372" s="60"/>
    </row>
    <row r="373">
      <c r="DE373" s="60"/>
      <c r="DF373" s="60"/>
      <c r="DG373" s="60"/>
      <c r="DH373" s="60"/>
      <c r="DI373" s="60"/>
      <c r="DJ373" s="60"/>
    </row>
    <row r="374">
      <c r="DE374" s="60"/>
      <c r="DF374" s="60"/>
      <c r="DG374" s="60"/>
      <c r="DH374" s="60"/>
      <c r="DI374" s="60"/>
      <c r="DJ374" s="60"/>
    </row>
    <row r="375">
      <c r="DE375" s="60"/>
      <c r="DF375" s="60"/>
      <c r="DG375" s="60"/>
      <c r="DH375" s="60"/>
      <c r="DI375" s="60"/>
      <c r="DJ375" s="60"/>
    </row>
    <row r="376">
      <c r="DE376" s="60"/>
      <c r="DF376" s="60"/>
      <c r="DG376" s="60"/>
      <c r="DH376" s="60"/>
      <c r="DI376" s="60"/>
      <c r="DJ376" s="60"/>
    </row>
    <row r="377">
      <c r="DE377" s="60"/>
      <c r="DF377" s="60"/>
      <c r="DG377" s="60"/>
      <c r="DH377" s="60"/>
      <c r="DI377" s="60"/>
      <c r="DJ377" s="60"/>
    </row>
    <row r="378">
      <c r="DE378" s="60"/>
      <c r="DF378" s="60"/>
      <c r="DG378" s="60"/>
      <c r="DH378" s="60"/>
      <c r="DI378" s="60"/>
      <c r="DJ378" s="60"/>
    </row>
    <row r="379">
      <c r="DE379" s="60"/>
      <c r="DF379" s="60"/>
      <c r="DG379" s="60"/>
      <c r="DH379" s="60"/>
      <c r="DI379" s="60"/>
      <c r="DJ379" s="60"/>
    </row>
    <row r="380">
      <c r="DE380" s="60"/>
      <c r="DF380" s="60"/>
      <c r="DG380" s="60"/>
      <c r="DH380" s="60"/>
      <c r="DI380" s="60"/>
      <c r="DJ380" s="60"/>
    </row>
    <row r="381">
      <c r="DE381" s="60"/>
      <c r="DF381" s="60"/>
      <c r="DG381" s="60"/>
      <c r="DH381" s="60"/>
      <c r="DI381" s="60"/>
      <c r="DJ381" s="60"/>
    </row>
    <row r="382">
      <c r="DE382" s="60"/>
      <c r="DF382" s="60"/>
      <c r="DG382" s="60"/>
      <c r="DH382" s="60"/>
      <c r="DI382" s="60"/>
      <c r="DJ382" s="60"/>
    </row>
    <row r="383">
      <c r="DE383" s="60"/>
      <c r="DF383" s="60"/>
      <c r="DG383" s="60"/>
      <c r="DH383" s="60"/>
      <c r="DI383" s="60"/>
      <c r="DJ383" s="60"/>
    </row>
    <row r="384">
      <c r="DE384" s="60"/>
      <c r="DF384" s="60"/>
      <c r="DG384" s="60"/>
      <c r="DH384" s="60"/>
      <c r="DI384" s="60"/>
      <c r="DJ384" s="60"/>
    </row>
    <row r="385">
      <c r="DE385" s="60"/>
      <c r="DF385" s="60"/>
      <c r="DG385" s="60"/>
      <c r="DH385" s="60"/>
      <c r="DI385" s="60"/>
      <c r="DJ385" s="60"/>
    </row>
    <row r="386">
      <c r="DE386" s="60"/>
      <c r="DF386" s="60"/>
      <c r="DG386" s="60"/>
      <c r="DH386" s="60"/>
      <c r="DI386" s="60"/>
      <c r="DJ386" s="60"/>
    </row>
    <row r="387">
      <c r="DE387" s="60"/>
      <c r="DF387" s="60"/>
      <c r="DG387" s="60"/>
      <c r="DH387" s="60"/>
      <c r="DI387" s="60"/>
      <c r="DJ387" s="60"/>
    </row>
    <row r="388">
      <c r="DE388" s="60"/>
      <c r="DF388" s="60"/>
      <c r="DG388" s="60"/>
      <c r="DH388" s="60"/>
      <c r="DI388" s="60"/>
      <c r="DJ388" s="60"/>
    </row>
    <row r="389">
      <c r="DE389" s="60"/>
      <c r="DF389" s="60"/>
      <c r="DG389" s="60"/>
      <c r="DH389" s="60"/>
      <c r="DI389" s="60"/>
      <c r="DJ389" s="60"/>
    </row>
    <row r="390">
      <c r="DE390" s="60"/>
      <c r="DF390" s="60"/>
      <c r="DG390" s="60"/>
      <c r="DH390" s="60"/>
      <c r="DI390" s="60"/>
      <c r="DJ390" s="60"/>
    </row>
    <row r="391">
      <c r="DE391" s="60"/>
      <c r="DF391" s="60"/>
      <c r="DG391" s="60"/>
      <c r="DH391" s="60"/>
      <c r="DI391" s="60"/>
      <c r="DJ391" s="60"/>
    </row>
    <row r="392">
      <c r="DE392" s="60"/>
      <c r="DF392" s="60"/>
      <c r="DG392" s="60"/>
      <c r="DH392" s="60"/>
      <c r="DI392" s="60"/>
      <c r="DJ392" s="60"/>
    </row>
    <row r="393">
      <c r="DE393" s="60"/>
      <c r="DF393" s="60"/>
      <c r="DG393" s="60"/>
      <c r="DH393" s="60"/>
      <c r="DI393" s="60"/>
      <c r="DJ393" s="60"/>
    </row>
    <row r="394">
      <c r="DE394" s="60"/>
      <c r="DF394" s="60"/>
      <c r="DG394" s="60"/>
      <c r="DH394" s="60"/>
      <c r="DI394" s="60"/>
      <c r="DJ394" s="60"/>
    </row>
    <row r="395">
      <c r="DE395" s="60"/>
      <c r="DF395" s="60"/>
      <c r="DG395" s="60"/>
      <c r="DH395" s="60"/>
      <c r="DI395" s="60"/>
      <c r="DJ395" s="60"/>
    </row>
    <row r="396">
      <c r="DE396" s="60"/>
      <c r="DF396" s="60"/>
      <c r="DG396" s="60"/>
      <c r="DH396" s="60"/>
      <c r="DI396" s="60"/>
      <c r="DJ396" s="60"/>
    </row>
    <row r="397">
      <c r="DE397" s="60"/>
      <c r="DF397" s="60"/>
      <c r="DG397" s="60"/>
      <c r="DH397" s="60"/>
      <c r="DI397" s="60"/>
      <c r="DJ397" s="60"/>
    </row>
    <row r="398">
      <c r="DE398" s="60"/>
      <c r="DF398" s="60"/>
      <c r="DG398" s="60"/>
      <c r="DH398" s="60"/>
      <c r="DI398" s="60"/>
      <c r="DJ398" s="60"/>
    </row>
    <row r="399">
      <c r="DE399" s="60"/>
      <c r="DF399" s="60"/>
      <c r="DG399" s="60"/>
      <c r="DH399" s="60"/>
      <c r="DI399" s="60"/>
      <c r="DJ399" s="60"/>
    </row>
    <row r="400">
      <c r="DE400" s="60"/>
      <c r="DF400" s="60"/>
      <c r="DG400" s="60"/>
      <c r="DH400" s="60"/>
      <c r="DI400" s="60"/>
      <c r="DJ400" s="60"/>
    </row>
    <row r="401">
      <c r="DE401" s="60"/>
      <c r="DF401" s="60"/>
      <c r="DG401" s="60"/>
      <c r="DH401" s="60"/>
      <c r="DI401" s="60"/>
      <c r="DJ401" s="60"/>
    </row>
    <row r="402">
      <c r="DE402" s="60"/>
      <c r="DF402" s="60"/>
      <c r="DG402" s="60"/>
      <c r="DH402" s="60"/>
      <c r="DI402" s="60"/>
      <c r="DJ402" s="60"/>
    </row>
    <row r="403">
      <c r="DE403" s="60"/>
      <c r="DF403" s="60"/>
      <c r="DG403" s="60"/>
      <c r="DH403" s="60"/>
      <c r="DI403" s="60"/>
      <c r="DJ403" s="60"/>
    </row>
    <row r="404">
      <c r="DE404" s="60"/>
      <c r="DF404" s="60"/>
      <c r="DG404" s="60"/>
      <c r="DH404" s="60"/>
      <c r="DI404" s="60"/>
      <c r="DJ404" s="60"/>
    </row>
    <row r="405">
      <c r="DE405" s="60"/>
      <c r="DF405" s="60"/>
      <c r="DG405" s="60"/>
      <c r="DH405" s="60"/>
      <c r="DI405" s="60"/>
      <c r="DJ405" s="60"/>
    </row>
    <row r="406">
      <c r="DE406" s="60"/>
      <c r="DF406" s="60"/>
      <c r="DG406" s="60"/>
      <c r="DH406" s="60"/>
      <c r="DI406" s="60"/>
      <c r="DJ406" s="60"/>
    </row>
    <row r="407">
      <c r="DE407" s="60"/>
      <c r="DF407" s="60"/>
      <c r="DG407" s="60"/>
      <c r="DH407" s="60"/>
      <c r="DI407" s="60"/>
      <c r="DJ407" s="60"/>
    </row>
    <row r="408">
      <c r="DE408" s="60"/>
      <c r="DF408" s="60"/>
      <c r="DG408" s="60"/>
      <c r="DH408" s="60"/>
      <c r="DI408" s="60"/>
      <c r="DJ408" s="60"/>
    </row>
    <row r="409">
      <c r="DE409" s="60"/>
      <c r="DF409" s="60"/>
      <c r="DG409" s="60"/>
      <c r="DH409" s="60"/>
      <c r="DI409" s="60"/>
      <c r="DJ409" s="60"/>
    </row>
    <row r="410">
      <c r="DE410" s="60"/>
      <c r="DF410" s="60"/>
      <c r="DG410" s="60"/>
      <c r="DH410" s="60"/>
      <c r="DI410" s="60"/>
      <c r="DJ410" s="60"/>
    </row>
    <row r="411">
      <c r="DE411" s="60"/>
      <c r="DF411" s="60"/>
      <c r="DG411" s="60"/>
      <c r="DH411" s="60"/>
      <c r="DI411" s="60"/>
      <c r="DJ411" s="60"/>
    </row>
    <row r="412">
      <c r="DE412" s="60"/>
      <c r="DF412" s="60"/>
      <c r="DG412" s="60"/>
      <c r="DH412" s="60"/>
      <c r="DI412" s="60"/>
      <c r="DJ412" s="60"/>
    </row>
    <row r="413">
      <c r="DE413" s="60"/>
      <c r="DF413" s="60"/>
      <c r="DG413" s="60"/>
      <c r="DH413" s="60"/>
      <c r="DI413" s="60"/>
      <c r="DJ413" s="60"/>
    </row>
    <row r="414">
      <c r="DE414" s="60"/>
      <c r="DF414" s="60"/>
      <c r="DG414" s="60"/>
      <c r="DH414" s="60"/>
      <c r="DI414" s="60"/>
      <c r="DJ414" s="60"/>
    </row>
    <row r="415">
      <c r="DE415" s="60"/>
      <c r="DF415" s="60"/>
      <c r="DG415" s="60"/>
      <c r="DH415" s="60"/>
      <c r="DI415" s="60"/>
      <c r="DJ415" s="60"/>
    </row>
    <row r="416">
      <c r="DE416" s="60"/>
      <c r="DF416" s="60"/>
      <c r="DG416" s="60"/>
      <c r="DH416" s="60"/>
      <c r="DI416" s="60"/>
      <c r="DJ416" s="60"/>
    </row>
    <row r="417">
      <c r="DE417" s="60"/>
      <c r="DF417" s="60"/>
      <c r="DG417" s="60"/>
      <c r="DH417" s="60"/>
      <c r="DI417" s="60"/>
      <c r="DJ417" s="60"/>
    </row>
    <row r="418">
      <c r="DE418" s="60"/>
      <c r="DF418" s="60"/>
      <c r="DG418" s="60"/>
      <c r="DH418" s="60"/>
      <c r="DI418" s="60"/>
      <c r="DJ418" s="60"/>
    </row>
    <row r="419">
      <c r="DE419" s="60"/>
      <c r="DF419" s="60"/>
      <c r="DG419" s="60"/>
      <c r="DH419" s="60"/>
      <c r="DI419" s="60"/>
      <c r="DJ419" s="60"/>
    </row>
    <row r="420">
      <c r="DE420" s="60"/>
      <c r="DF420" s="60"/>
      <c r="DG420" s="60"/>
      <c r="DH420" s="60"/>
      <c r="DI420" s="60"/>
      <c r="DJ420" s="60"/>
    </row>
    <row r="421">
      <c r="DE421" s="60"/>
      <c r="DF421" s="60"/>
      <c r="DG421" s="60"/>
      <c r="DH421" s="60"/>
      <c r="DI421" s="60"/>
      <c r="DJ421" s="60"/>
    </row>
    <row r="422">
      <c r="DE422" s="60"/>
      <c r="DF422" s="60"/>
      <c r="DG422" s="60"/>
      <c r="DH422" s="60"/>
      <c r="DI422" s="60"/>
      <c r="DJ422" s="60"/>
    </row>
    <row r="423">
      <c r="DE423" s="60"/>
      <c r="DF423" s="60"/>
      <c r="DG423" s="60"/>
      <c r="DH423" s="60"/>
      <c r="DI423" s="60"/>
      <c r="DJ423" s="60"/>
    </row>
    <row r="424">
      <c r="DE424" s="60"/>
      <c r="DF424" s="60"/>
      <c r="DG424" s="60"/>
      <c r="DH424" s="60"/>
      <c r="DI424" s="60"/>
      <c r="DJ424" s="60"/>
    </row>
    <row r="425">
      <c r="DE425" s="60"/>
      <c r="DF425" s="60"/>
      <c r="DG425" s="60"/>
      <c r="DH425" s="60"/>
      <c r="DI425" s="60"/>
      <c r="DJ425" s="60"/>
    </row>
    <row r="426">
      <c r="DE426" s="60"/>
      <c r="DF426" s="60"/>
      <c r="DG426" s="60"/>
      <c r="DH426" s="60"/>
      <c r="DI426" s="60"/>
      <c r="DJ426" s="60"/>
    </row>
    <row r="427">
      <c r="DE427" s="60"/>
      <c r="DF427" s="60"/>
      <c r="DG427" s="60"/>
      <c r="DH427" s="60"/>
      <c r="DI427" s="60"/>
      <c r="DJ427" s="60"/>
    </row>
    <row r="428">
      <c r="DE428" s="60"/>
      <c r="DF428" s="60"/>
      <c r="DG428" s="60"/>
      <c r="DH428" s="60"/>
      <c r="DI428" s="60"/>
      <c r="DJ428" s="60"/>
    </row>
    <row r="429">
      <c r="DE429" s="60"/>
      <c r="DF429" s="60"/>
      <c r="DG429" s="60"/>
      <c r="DH429" s="60"/>
      <c r="DI429" s="60"/>
      <c r="DJ429" s="60"/>
    </row>
    <row r="430">
      <c r="DE430" s="60"/>
      <c r="DF430" s="60"/>
      <c r="DG430" s="60"/>
      <c r="DH430" s="60"/>
      <c r="DI430" s="60"/>
      <c r="DJ430" s="60"/>
    </row>
    <row r="431">
      <c r="DE431" s="60"/>
      <c r="DF431" s="60"/>
      <c r="DG431" s="60"/>
      <c r="DH431" s="60"/>
      <c r="DI431" s="60"/>
      <c r="DJ431" s="60"/>
    </row>
    <row r="432">
      <c r="DE432" s="60"/>
      <c r="DF432" s="60"/>
      <c r="DG432" s="60"/>
      <c r="DH432" s="60"/>
      <c r="DI432" s="60"/>
      <c r="DJ432" s="60"/>
    </row>
    <row r="433">
      <c r="DE433" s="60"/>
      <c r="DF433" s="60"/>
      <c r="DG433" s="60"/>
      <c r="DH433" s="60"/>
      <c r="DI433" s="60"/>
      <c r="DJ433" s="60"/>
    </row>
    <row r="434">
      <c r="DE434" s="60"/>
      <c r="DF434" s="60"/>
      <c r="DG434" s="60"/>
      <c r="DH434" s="60"/>
      <c r="DI434" s="60"/>
      <c r="DJ434" s="60"/>
    </row>
    <row r="435">
      <c r="DE435" s="60"/>
      <c r="DF435" s="60"/>
      <c r="DG435" s="60"/>
      <c r="DH435" s="60"/>
      <c r="DI435" s="60"/>
      <c r="DJ435" s="60"/>
    </row>
    <row r="436">
      <c r="DE436" s="60"/>
      <c r="DF436" s="60"/>
      <c r="DG436" s="60"/>
      <c r="DH436" s="60"/>
      <c r="DI436" s="60"/>
      <c r="DJ436" s="60"/>
    </row>
    <row r="437">
      <c r="DE437" s="60"/>
      <c r="DF437" s="60"/>
      <c r="DG437" s="60"/>
      <c r="DH437" s="60"/>
      <c r="DI437" s="60"/>
      <c r="DJ437" s="60"/>
    </row>
    <row r="438">
      <c r="DE438" s="60"/>
      <c r="DF438" s="60"/>
      <c r="DG438" s="60"/>
      <c r="DH438" s="60"/>
      <c r="DI438" s="60"/>
      <c r="DJ438" s="60"/>
    </row>
    <row r="439">
      <c r="DE439" s="60"/>
      <c r="DF439" s="60"/>
      <c r="DG439" s="60"/>
      <c r="DH439" s="60"/>
      <c r="DI439" s="60"/>
      <c r="DJ439" s="60"/>
    </row>
    <row r="440">
      <c r="DE440" s="60"/>
      <c r="DF440" s="60"/>
      <c r="DG440" s="60"/>
      <c r="DH440" s="60"/>
      <c r="DI440" s="60"/>
      <c r="DJ440" s="60"/>
    </row>
    <row r="441">
      <c r="DE441" s="60"/>
      <c r="DF441" s="60"/>
      <c r="DG441" s="60"/>
      <c r="DH441" s="60"/>
      <c r="DI441" s="60"/>
      <c r="DJ441" s="60"/>
    </row>
    <row r="442">
      <c r="DE442" s="60"/>
      <c r="DF442" s="60"/>
      <c r="DG442" s="60"/>
      <c r="DH442" s="60"/>
      <c r="DI442" s="60"/>
      <c r="DJ442" s="60"/>
    </row>
    <row r="443">
      <c r="DE443" s="60"/>
      <c r="DF443" s="60"/>
      <c r="DG443" s="60"/>
      <c r="DH443" s="60"/>
      <c r="DI443" s="60"/>
      <c r="DJ443" s="60"/>
    </row>
    <row r="444">
      <c r="DE444" s="60"/>
      <c r="DF444" s="60"/>
      <c r="DG444" s="60"/>
      <c r="DH444" s="60"/>
      <c r="DI444" s="60"/>
      <c r="DJ444" s="60"/>
    </row>
    <row r="445">
      <c r="DE445" s="60"/>
      <c r="DF445" s="60"/>
      <c r="DG445" s="60"/>
      <c r="DH445" s="60"/>
      <c r="DI445" s="60"/>
      <c r="DJ445" s="60"/>
    </row>
    <row r="446">
      <c r="DE446" s="60"/>
      <c r="DF446" s="60"/>
      <c r="DG446" s="60"/>
      <c r="DH446" s="60"/>
      <c r="DI446" s="60"/>
      <c r="DJ446" s="60"/>
    </row>
    <row r="447">
      <c r="DE447" s="60"/>
      <c r="DF447" s="60"/>
      <c r="DG447" s="60"/>
      <c r="DH447" s="60"/>
      <c r="DI447" s="60"/>
      <c r="DJ447" s="60"/>
    </row>
    <row r="448">
      <c r="DE448" s="60"/>
      <c r="DF448" s="60"/>
      <c r="DG448" s="60"/>
      <c r="DH448" s="60"/>
      <c r="DI448" s="60"/>
      <c r="DJ448" s="60"/>
    </row>
    <row r="449">
      <c r="DE449" s="60"/>
      <c r="DF449" s="60"/>
      <c r="DG449" s="60"/>
      <c r="DH449" s="60"/>
      <c r="DI449" s="60"/>
      <c r="DJ449" s="60"/>
    </row>
    <row r="450">
      <c r="DE450" s="60"/>
      <c r="DF450" s="60"/>
      <c r="DG450" s="60"/>
      <c r="DH450" s="60"/>
      <c r="DI450" s="60"/>
      <c r="DJ450" s="60"/>
    </row>
    <row r="451">
      <c r="DE451" s="60"/>
      <c r="DF451" s="60"/>
      <c r="DG451" s="60"/>
      <c r="DH451" s="60"/>
      <c r="DI451" s="60"/>
      <c r="DJ451" s="60"/>
    </row>
    <row r="452">
      <c r="DE452" s="60"/>
      <c r="DF452" s="60"/>
      <c r="DG452" s="60"/>
      <c r="DH452" s="60"/>
      <c r="DI452" s="60"/>
      <c r="DJ452" s="60"/>
    </row>
    <row r="453">
      <c r="DE453" s="60"/>
      <c r="DF453" s="60"/>
      <c r="DG453" s="60"/>
      <c r="DH453" s="60"/>
      <c r="DI453" s="60"/>
      <c r="DJ453" s="60"/>
    </row>
    <row r="454">
      <c r="DE454" s="60"/>
      <c r="DF454" s="60"/>
      <c r="DG454" s="60"/>
      <c r="DH454" s="60"/>
      <c r="DI454" s="60"/>
      <c r="DJ454" s="60"/>
    </row>
    <row r="455">
      <c r="DE455" s="60"/>
      <c r="DF455" s="60"/>
      <c r="DG455" s="60"/>
      <c r="DH455" s="60"/>
      <c r="DI455" s="60"/>
      <c r="DJ455" s="60"/>
    </row>
    <row r="456">
      <c r="DE456" s="60"/>
      <c r="DF456" s="60"/>
      <c r="DG456" s="60"/>
      <c r="DH456" s="60"/>
      <c r="DI456" s="60"/>
      <c r="DJ456" s="60"/>
    </row>
    <row r="457">
      <c r="DE457" s="60"/>
      <c r="DF457" s="60"/>
      <c r="DG457" s="60"/>
      <c r="DH457" s="60"/>
      <c r="DI457" s="60"/>
      <c r="DJ457" s="60"/>
    </row>
    <row r="458">
      <c r="DE458" s="60"/>
      <c r="DF458" s="60"/>
      <c r="DG458" s="60"/>
      <c r="DH458" s="60"/>
      <c r="DI458" s="60"/>
      <c r="DJ458" s="60"/>
    </row>
    <row r="459">
      <c r="DE459" s="60"/>
      <c r="DF459" s="60"/>
      <c r="DG459" s="60"/>
      <c r="DH459" s="60"/>
      <c r="DI459" s="60"/>
      <c r="DJ459" s="60"/>
    </row>
    <row r="460">
      <c r="DE460" s="60"/>
      <c r="DF460" s="60"/>
      <c r="DG460" s="60"/>
      <c r="DH460" s="60"/>
      <c r="DI460" s="60"/>
      <c r="DJ460" s="60"/>
    </row>
    <row r="461">
      <c r="DE461" s="60"/>
      <c r="DF461" s="60"/>
      <c r="DG461" s="60"/>
      <c r="DH461" s="60"/>
      <c r="DI461" s="60"/>
      <c r="DJ461" s="60"/>
    </row>
    <row r="462">
      <c r="DE462" s="60"/>
      <c r="DF462" s="60"/>
      <c r="DG462" s="60"/>
      <c r="DH462" s="60"/>
      <c r="DI462" s="60"/>
      <c r="DJ462" s="60"/>
    </row>
    <row r="463">
      <c r="DE463" s="60"/>
      <c r="DF463" s="60"/>
      <c r="DG463" s="60"/>
      <c r="DH463" s="60"/>
      <c r="DI463" s="60"/>
      <c r="DJ463" s="60"/>
    </row>
    <row r="464">
      <c r="DE464" s="60"/>
      <c r="DF464" s="60"/>
      <c r="DG464" s="60"/>
      <c r="DH464" s="60"/>
      <c r="DI464" s="60"/>
      <c r="DJ464" s="60"/>
    </row>
    <row r="465">
      <c r="DE465" s="60"/>
      <c r="DF465" s="60"/>
      <c r="DG465" s="60"/>
      <c r="DH465" s="60"/>
      <c r="DI465" s="60"/>
      <c r="DJ465" s="60"/>
    </row>
    <row r="466">
      <c r="DE466" s="60"/>
      <c r="DF466" s="60"/>
      <c r="DG466" s="60"/>
      <c r="DH466" s="60"/>
      <c r="DI466" s="60"/>
      <c r="DJ466" s="60"/>
    </row>
    <row r="467">
      <c r="DE467" s="60"/>
      <c r="DF467" s="60"/>
      <c r="DG467" s="60"/>
      <c r="DH467" s="60"/>
      <c r="DI467" s="60"/>
      <c r="DJ467" s="60"/>
    </row>
    <row r="468">
      <c r="DE468" s="60"/>
      <c r="DF468" s="60"/>
      <c r="DG468" s="60"/>
      <c r="DH468" s="60"/>
      <c r="DI468" s="60"/>
      <c r="DJ468" s="60"/>
    </row>
    <row r="469">
      <c r="DE469" s="60"/>
      <c r="DF469" s="60"/>
      <c r="DG469" s="60"/>
      <c r="DH469" s="60"/>
      <c r="DI469" s="60"/>
      <c r="DJ469" s="60"/>
    </row>
    <row r="470">
      <c r="DE470" s="60"/>
      <c r="DF470" s="60"/>
      <c r="DG470" s="60"/>
      <c r="DH470" s="60"/>
      <c r="DI470" s="60"/>
      <c r="DJ470" s="60"/>
    </row>
    <row r="471">
      <c r="DE471" s="60"/>
      <c r="DF471" s="60"/>
      <c r="DG471" s="60"/>
      <c r="DH471" s="60"/>
      <c r="DI471" s="60"/>
      <c r="DJ471" s="60"/>
    </row>
    <row r="472">
      <c r="DE472" s="60"/>
      <c r="DF472" s="60"/>
      <c r="DG472" s="60"/>
      <c r="DH472" s="60"/>
      <c r="DI472" s="60"/>
      <c r="DJ472" s="60"/>
    </row>
    <row r="473">
      <c r="DE473" s="60"/>
      <c r="DF473" s="60"/>
      <c r="DG473" s="60"/>
      <c r="DH473" s="60"/>
      <c r="DI473" s="60"/>
      <c r="DJ473" s="60"/>
    </row>
    <row r="474">
      <c r="DE474" s="60"/>
      <c r="DF474" s="60"/>
      <c r="DG474" s="60"/>
      <c r="DH474" s="60"/>
      <c r="DI474" s="60"/>
      <c r="DJ474" s="60"/>
    </row>
    <row r="475">
      <c r="DE475" s="60"/>
      <c r="DF475" s="60"/>
      <c r="DG475" s="60"/>
      <c r="DH475" s="60"/>
      <c r="DI475" s="60"/>
      <c r="DJ475" s="60"/>
    </row>
    <row r="476">
      <c r="DE476" s="60"/>
      <c r="DF476" s="60"/>
      <c r="DG476" s="60"/>
      <c r="DH476" s="60"/>
      <c r="DI476" s="60"/>
      <c r="DJ476" s="60"/>
    </row>
    <row r="477">
      <c r="DE477" s="60"/>
      <c r="DF477" s="60"/>
      <c r="DG477" s="60"/>
      <c r="DH477" s="60"/>
      <c r="DI477" s="60"/>
      <c r="DJ477" s="60"/>
    </row>
    <row r="478">
      <c r="DE478" s="60"/>
      <c r="DF478" s="60"/>
      <c r="DG478" s="60"/>
      <c r="DH478" s="60"/>
      <c r="DI478" s="60"/>
      <c r="DJ478" s="60"/>
    </row>
    <row r="479">
      <c r="DE479" s="60"/>
      <c r="DF479" s="60"/>
      <c r="DG479" s="60"/>
      <c r="DH479" s="60"/>
      <c r="DI479" s="60"/>
      <c r="DJ479" s="60"/>
    </row>
    <row r="480">
      <c r="DE480" s="60"/>
      <c r="DF480" s="60"/>
      <c r="DG480" s="60"/>
      <c r="DH480" s="60"/>
      <c r="DI480" s="60"/>
      <c r="DJ480" s="60"/>
    </row>
    <row r="481">
      <c r="DE481" s="60"/>
      <c r="DF481" s="60"/>
      <c r="DG481" s="60"/>
      <c r="DH481" s="60"/>
      <c r="DI481" s="60"/>
      <c r="DJ481" s="60"/>
    </row>
    <row r="482">
      <c r="DE482" s="60"/>
      <c r="DF482" s="60"/>
      <c r="DG482" s="60"/>
      <c r="DH482" s="60"/>
      <c r="DI482" s="60"/>
      <c r="DJ482" s="60"/>
    </row>
    <row r="483">
      <c r="DE483" s="60"/>
      <c r="DF483" s="60"/>
      <c r="DG483" s="60"/>
      <c r="DH483" s="60"/>
      <c r="DI483" s="60"/>
      <c r="DJ483" s="60"/>
    </row>
    <row r="484">
      <c r="DE484" s="60"/>
      <c r="DF484" s="60"/>
      <c r="DG484" s="60"/>
      <c r="DH484" s="60"/>
      <c r="DI484" s="60"/>
      <c r="DJ484" s="60"/>
    </row>
    <row r="485">
      <c r="DE485" s="60"/>
      <c r="DF485" s="60"/>
      <c r="DG485" s="60"/>
      <c r="DH485" s="60"/>
      <c r="DI485" s="60"/>
      <c r="DJ485" s="60"/>
    </row>
    <row r="486">
      <c r="DE486" s="60"/>
      <c r="DF486" s="60"/>
      <c r="DG486" s="60"/>
      <c r="DH486" s="60"/>
      <c r="DI486" s="60"/>
      <c r="DJ486" s="60"/>
    </row>
    <row r="487">
      <c r="DE487" s="60"/>
      <c r="DF487" s="60"/>
      <c r="DG487" s="60"/>
      <c r="DH487" s="60"/>
      <c r="DI487" s="60"/>
      <c r="DJ487" s="60"/>
    </row>
    <row r="488">
      <c r="DE488" s="60"/>
      <c r="DF488" s="60"/>
      <c r="DG488" s="60"/>
      <c r="DH488" s="60"/>
      <c r="DI488" s="60"/>
      <c r="DJ488" s="60"/>
    </row>
    <row r="489">
      <c r="DE489" s="60"/>
      <c r="DF489" s="60"/>
      <c r="DG489" s="60"/>
      <c r="DH489" s="60"/>
      <c r="DI489" s="60"/>
      <c r="DJ489" s="60"/>
    </row>
    <row r="490">
      <c r="DE490" s="60"/>
      <c r="DF490" s="60"/>
      <c r="DG490" s="60"/>
      <c r="DH490" s="60"/>
      <c r="DI490" s="60"/>
      <c r="DJ490" s="60"/>
    </row>
    <row r="491">
      <c r="DE491" s="60"/>
      <c r="DF491" s="60"/>
      <c r="DG491" s="60"/>
      <c r="DH491" s="60"/>
      <c r="DI491" s="60"/>
      <c r="DJ491" s="60"/>
    </row>
    <row r="492">
      <c r="DE492" s="60"/>
      <c r="DF492" s="60"/>
      <c r="DG492" s="60"/>
      <c r="DH492" s="60"/>
      <c r="DI492" s="60"/>
      <c r="DJ492" s="60"/>
    </row>
    <row r="493">
      <c r="DE493" s="60"/>
      <c r="DF493" s="60"/>
      <c r="DG493" s="60"/>
      <c r="DH493" s="60"/>
      <c r="DI493" s="60"/>
      <c r="DJ493" s="60"/>
    </row>
    <row r="494">
      <c r="DE494" s="60"/>
      <c r="DF494" s="60"/>
      <c r="DG494" s="60"/>
      <c r="DH494" s="60"/>
      <c r="DI494" s="60"/>
      <c r="DJ494" s="60"/>
    </row>
    <row r="495">
      <c r="DE495" s="60"/>
      <c r="DF495" s="60"/>
      <c r="DG495" s="60"/>
      <c r="DH495" s="60"/>
      <c r="DI495" s="60"/>
      <c r="DJ495" s="60"/>
    </row>
    <row r="496">
      <c r="DE496" s="60"/>
      <c r="DF496" s="60"/>
      <c r="DG496" s="60"/>
      <c r="DH496" s="60"/>
      <c r="DI496" s="60"/>
      <c r="DJ496" s="60"/>
    </row>
    <row r="497">
      <c r="DE497" s="60"/>
      <c r="DF497" s="60"/>
      <c r="DG497" s="60"/>
      <c r="DH497" s="60"/>
      <c r="DI497" s="60"/>
      <c r="DJ497" s="60"/>
    </row>
    <row r="498">
      <c r="DE498" s="60"/>
      <c r="DF498" s="60"/>
      <c r="DG498" s="60"/>
      <c r="DH498" s="60"/>
      <c r="DI498" s="60"/>
      <c r="DJ498" s="60"/>
    </row>
    <row r="499">
      <c r="DE499" s="60"/>
      <c r="DF499" s="60"/>
      <c r="DG499" s="60"/>
      <c r="DH499" s="60"/>
      <c r="DI499" s="60"/>
      <c r="DJ499" s="60"/>
    </row>
    <row r="500">
      <c r="DE500" s="60"/>
      <c r="DF500" s="60"/>
      <c r="DG500" s="60"/>
      <c r="DH500" s="60"/>
      <c r="DI500" s="60"/>
      <c r="DJ500" s="60"/>
    </row>
    <row r="501">
      <c r="DE501" s="60"/>
      <c r="DF501" s="60"/>
      <c r="DG501" s="60"/>
      <c r="DH501" s="60"/>
      <c r="DI501" s="60"/>
      <c r="DJ501" s="60"/>
    </row>
    <row r="502">
      <c r="DE502" s="60"/>
      <c r="DF502" s="60"/>
      <c r="DG502" s="60"/>
      <c r="DH502" s="60"/>
      <c r="DI502" s="60"/>
      <c r="DJ502" s="60"/>
    </row>
    <row r="503">
      <c r="DE503" s="60"/>
      <c r="DF503" s="60"/>
      <c r="DG503" s="60"/>
      <c r="DH503" s="60"/>
      <c r="DI503" s="60"/>
      <c r="DJ503" s="60"/>
    </row>
    <row r="504">
      <c r="DE504" s="60"/>
      <c r="DF504" s="60"/>
      <c r="DG504" s="60"/>
      <c r="DH504" s="60"/>
      <c r="DI504" s="60"/>
      <c r="DJ504" s="60"/>
    </row>
    <row r="505">
      <c r="DE505" s="60"/>
      <c r="DF505" s="60"/>
      <c r="DG505" s="60"/>
      <c r="DH505" s="60"/>
      <c r="DI505" s="60"/>
      <c r="DJ505" s="60"/>
    </row>
    <row r="506">
      <c r="DE506" s="60"/>
      <c r="DF506" s="60"/>
      <c r="DG506" s="60"/>
      <c r="DH506" s="60"/>
      <c r="DI506" s="60"/>
      <c r="DJ506" s="60"/>
    </row>
    <row r="507">
      <c r="DE507" s="60"/>
      <c r="DF507" s="60"/>
      <c r="DG507" s="60"/>
      <c r="DH507" s="60"/>
      <c r="DI507" s="60"/>
      <c r="DJ507" s="60"/>
    </row>
    <row r="508">
      <c r="DE508" s="60"/>
      <c r="DF508" s="60"/>
      <c r="DG508" s="60"/>
      <c r="DH508" s="60"/>
      <c r="DI508" s="60"/>
      <c r="DJ508" s="60"/>
    </row>
    <row r="509">
      <c r="DE509" s="60"/>
      <c r="DF509" s="60"/>
      <c r="DG509" s="60"/>
      <c r="DH509" s="60"/>
      <c r="DI509" s="60"/>
      <c r="DJ509" s="60"/>
    </row>
    <row r="510">
      <c r="DE510" s="60"/>
      <c r="DF510" s="60"/>
      <c r="DG510" s="60"/>
      <c r="DH510" s="60"/>
      <c r="DI510" s="60"/>
      <c r="DJ510" s="60"/>
    </row>
    <row r="511">
      <c r="DE511" s="60"/>
      <c r="DF511" s="60"/>
      <c r="DG511" s="60"/>
      <c r="DH511" s="60"/>
      <c r="DI511" s="60"/>
      <c r="DJ511" s="60"/>
    </row>
    <row r="512">
      <c r="DE512" s="60"/>
      <c r="DF512" s="60"/>
      <c r="DG512" s="60"/>
      <c r="DH512" s="60"/>
      <c r="DI512" s="60"/>
      <c r="DJ512" s="60"/>
    </row>
    <row r="513">
      <c r="DE513" s="60"/>
      <c r="DF513" s="60"/>
      <c r="DG513" s="60"/>
      <c r="DH513" s="60"/>
      <c r="DI513" s="60"/>
      <c r="DJ513" s="60"/>
    </row>
    <row r="514">
      <c r="DE514" s="60"/>
      <c r="DF514" s="60"/>
      <c r="DG514" s="60"/>
      <c r="DH514" s="60"/>
      <c r="DI514" s="60"/>
      <c r="DJ514" s="60"/>
    </row>
    <row r="515">
      <c r="DE515" s="60"/>
      <c r="DF515" s="60"/>
      <c r="DG515" s="60"/>
      <c r="DH515" s="60"/>
      <c r="DI515" s="60"/>
      <c r="DJ515" s="60"/>
    </row>
    <row r="516">
      <c r="DE516" s="60"/>
      <c r="DF516" s="60"/>
      <c r="DG516" s="60"/>
      <c r="DH516" s="60"/>
      <c r="DI516" s="60"/>
      <c r="DJ516" s="60"/>
    </row>
    <row r="517">
      <c r="DE517" s="60"/>
      <c r="DF517" s="60"/>
      <c r="DG517" s="60"/>
      <c r="DH517" s="60"/>
      <c r="DI517" s="60"/>
      <c r="DJ517" s="60"/>
    </row>
    <row r="518">
      <c r="DE518" s="60"/>
      <c r="DF518" s="60"/>
      <c r="DG518" s="60"/>
      <c r="DH518" s="60"/>
      <c r="DI518" s="60"/>
      <c r="DJ518" s="60"/>
    </row>
    <row r="519">
      <c r="DE519" s="60"/>
      <c r="DF519" s="60"/>
      <c r="DG519" s="60"/>
      <c r="DH519" s="60"/>
      <c r="DI519" s="60"/>
      <c r="DJ519" s="60"/>
    </row>
    <row r="520">
      <c r="DE520" s="60"/>
      <c r="DF520" s="60"/>
      <c r="DG520" s="60"/>
      <c r="DH520" s="60"/>
      <c r="DI520" s="60"/>
      <c r="DJ520" s="60"/>
    </row>
    <row r="521">
      <c r="DE521" s="60"/>
      <c r="DF521" s="60"/>
      <c r="DG521" s="60"/>
      <c r="DH521" s="60"/>
      <c r="DI521" s="60"/>
      <c r="DJ521" s="60"/>
    </row>
    <row r="522">
      <c r="DE522" s="60"/>
      <c r="DF522" s="60"/>
      <c r="DG522" s="60"/>
      <c r="DH522" s="60"/>
      <c r="DI522" s="60"/>
      <c r="DJ522" s="60"/>
    </row>
    <row r="523">
      <c r="DE523" s="60"/>
      <c r="DF523" s="60"/>
      <c r="DG523" s="60"/>
      <c r="DH523" s="60"/>
      <c r="DI523" s="60"/>
      <c r="DJ523" s="60"/>
    </row>
    <row r="524">
      <c r="DE524" s="60"/>
      <c r="DF524" s="60"/>
      <c r="DG524" s="60"/>
      <c r="DH524" s="60"/>
      <c r="DI524" s="60"/>
      <c r="DJ524" s="60"/>
    </row>
    <row r="525">
      <c r="DE525" s="60"/>
      <c r="DF525" s="60"/>
      <c r="DG525" s="60"/>
      <c r="DH525" s="60"/>
      <c r="DI525" s="60"/>
      <c r="DJ525" s="60"/>
    </row>
    <row r="526">
      <c r="DE526" s="60"/>
      <c r="DF526" s="60"/>
      <c r="DG526" s="60"/>
      <c r="DH526" s="60"/>
      <c r="DI526" s="60"/>
      <c r="DJ526" s="60"/>
    </row>
    <row r="527">
      <c r="DE527" s="60"/>
      <c r="DF527" s="60"/>
      <c r="DG527" s="60"/>
      <c r="DH527" s="60"/>
      <c r="DI527" s="60"/>
      <c r="DJ527" s="60"/>
    </row>
    <row r="528">
      <c r="DE528" s="60"/>
      <c r="DF528" s="60"/>
      <c r="DG528" s="60"/>
      <c r="DH528" s="60"/>
      <c r="DI528" s="60"/>
      <c r="DJ528" s="60"/>
    </row>
    <row r="529">
      <c r="DE529" s="60"/>
      <c r="DF529" s="60"/>
      <c r="DG529" s="60"/>
      <c r="DH529" s="60"/>
      <c r="DI529" s="60"/>
      <c r="DJ529" s="60"/>
    </row>
    <row r="530">
      <c r="DE530" s="60"/>
      <c r="DF530" s="60"/>
      <c r="DG530" s="60"/>
      <c r="DH530" s="60"/>
      <c r="DI530" s="60"/>
      <c r="DJ530" s="60"/>
    </row>
    <row r="531">
      <c r="DE531" s="60"/>
      <c r="DF531" s="60"/>
      <c r="DG531" s="60"/>
      <c r="DH531" s="60"/>
      <c r="DI531" s="60"/>
      <c r="DJ531" s="60"/>
    </row>
    <row r="532">
      <c r="DE532" s="60"/>
      <c r="DF532" s="60"/>
      <c r="DG532" s="60"/>
      <c r="DH532" s="60"/>
      <c r="DI532" s="60"/>
      <c r="DJ532" s="60"/>
    </row>
    <row r="533">
      <c r="DE533" s="60"/>
      <c r="DF533" s="60"/>
      <c r="DG533" s="60"/>
      <c r="DH533" s="60"/>
      <c r="DI533" s="60"/>
      <c r="DJ533" s="60"/>
    </row>
    <row r="534">
      <c r="DE534" s="60"/>
      <c r="DF534" s="60"/>
      <c r="DG534" s="60"/>
      <c r="DH534" s="60"/>
      <c r="DI534" s="60"/>
      <c r="DJ534" s="60"/>
    </row>
    <row r="535">
      <c r="DE535" s="60"/>
      <c r="DF535" s="60"/>
      <c r="DG535" s="60"/>
      <c r="DH535" s="60"/>
      <c r="DI535" s="60"/>
      <c r="DJ535" s="60"/>
    </row>
    <row r="536">
      <c r="DE536" s="60"/>
      <c r="DF536" s="60"/>
      <c r="DG536" s="60"/>
      <c r="DH536" s="60"/>
      <c r="DI536" s="60"/>
      <c r="DJ536" s="60"/>
    </row>
    <row r="537">
      <c r="DE537" s="60"/>
      <c r="DF537" s="60"/>
      <c r="DG537" s="60"/>
      <c r="DH537" s="60"/>
      <c r="DI537" s="60"/>
      <c r="DJ537" s="60"/>
    </row>
    <row r="538">
      <c r="DE538" s="60"/>
      <c r="DF538" s="60"/>
      <c r="DG538" s="60"/>
      <c r="DH538" s="60"/>
      <c r="DI538" s="60"/>
      <c r="DJ538" s="60"/>
    </row>
    <row r="539">
      <c r="DE539" s="60"/>
      <c r="DF539" s="60"/>
      <c r="DG539" s="60"/>
      <c r="DH539" s="60"/>
      <c r="DI539" s="60"/>
      <c r="DJ539" s="60"/>
    </row>
    <row r="540">
      <c r="DE540" s="60"/>
      <c r="DF540" s="60"/>
      <c r="DG540" s="60"/>
      <c r="DH540" s="60"/>
      <c r="DI540" s="60"/>
      <c r="DJ540" s="60"/>
    </row>
    <row r="541">
      <c r="DE541" s="60"/>
      <c r="DF541" s="60"/>
      <c r="DG541" s="60"/>
      <c r="DH541" s="60"/>
      <c r="DI541" s="60"/>
      <c r="DJ541" s="60"/>
    </row>
    <row r="542">
      <c r="DE542" s="60"/>
      <c r="DF542" s="60"/>
      <c r="DG542" s="60"/>
      <c r="DH542" s="60"/>
      <c r="DI542" s="60"/>
      <c r="DJ542" s="60"/>
    </row>
    <row r="543">
      <c r="DE543" s="60"/>
      <c r="DF543" s="60"/>
      <c r="DG543" s="60"/>
      <c r="DH543" s="60"/>
      <c r="DI543" s="60"/>
      <c r="DJ543" s="60"/>
    </row>
    <row r="544">
      <c r="DE544" s="60"/>
      <c r="DF544" s="60"/>
      <c r="DG544" s="60"/>
      <c r="DH544" s="60"/>
      <c r="DI544" s="60"/>
      <c r="DJ544" s="60"/>
    </row>
    <row r="545">
      <c r="DE545" s="60"/>
      <c r="DF545" s="60"/>
      <c r="DG545" s="60"/>
      <c r="DH545" s="60"/>
      <c r="DI545" s="60"/>
      <c r="DJ545" s="60"/>
    </row>
    <row r="546">
      <c r="DE546" s="60"/>
      <c r="DF546" s="60"/>
      <c r="DG546" s="60"/>
      <c r="DH546" s="60"/>
      <c r="DI546" s="60"/>
      <c r="DJ546" s="60"/>
    </row>
    <row r="547">
      <c r="DE547" s="60"/>
      <c r="DF547" s="60"/>
      <c r="DG547" s="60"/>
      <c r="DH547" s="60"/>
      <c r="DI547" s="60"/>
      <c r="DJ547" s="60"/>
    </row>
    <row r="548">
      <c r="DE548" s="60"/>
      <c r="DF548" s="60"/>
      <c r="DG548" s="60"/>
      <c r="DH548" s="60"/>
      <c r="DI548" s="60"/>
      <c r="DJ548" s="60"/>
    </row>
    <row r="549">
      <c r="DE549" s="60"/>
      <c r="DF549" s="60"/>
      <c r="DG549" s="60"/>
      <c r="DH549" s="60"/>
      <c r="DI549" s="60"/>
      <c r="DJ549" s="60"/>
    </row>
    <row r="550">
      <c r="DE550" s="60"/>
      <c r="DF550" s="60"/>
      <c r="DG550" s="60"/>
      <c r="DH550" s="60"/>
      <c r="DI550" s="60"/>
      <c r="DJ550" s="60"/>
    </row>
    <row r="551">
      <c r="DE551" s="60"/>
      <c r="DF551" s="60"/>
      <c r="DG551" s="60"/>
      <c r="DH551" s="60"/>
      <c r="DI551" s="60"/>
      <c r="DJ551" s="60"/>
    </row>
    <row r="552">
      <c r="DE552" s="60"/>
      <c r="DF552" s="60"/>
      <c r="DG552" s="60"/>
      <c r="DH552" s="60"/>
      <c r="DI552" s="60"/>
      <c r="DJ552" s="60"/>
    </row>
    <row r="553">
      <c r="DE553" s="60"/>
      <c r="DF553" s="60"/>
      <c r="DG553" s="60"/>
      <c r="DH553" s="60"/>
      <c r="DI553" s="60"/>
      <c r="DJ553" s="60"/>
    </row>
    <row r="554">
      <c r="DE554" s="60"/>
      <c r="DF554" s="60"/>
      <c r="DG554" s="60"/>
      <c r="DH554" s="60"/>
      <c r="DI554" s="60"/>
      <c r="DJ554" s="60"/>
    </row>
    <row r="555">
      <c r="DE555" s="60"/>
      <c r="DF555" s="60"/>
      <c r="DG555" s="60"/>
      <c r="DH555" s="60"/>
      <c r="DI555" s="60"/>
      <c r="DJ555" s="60"/>
    </row>
    <row r="556">
      <c r="DE556" s="60"/>
      <c r="DF556" s="60"/>
      <c r="DG556" s="60"/>
      <c r="DH556" s="60"/>
      <c r="DI556" s="60"/>
      <c r="DJ556" s="60"/>
    </row>
    <row r="557">
      <c r="DE557" s="60"/>
      <c r="DF557" s="60"/>
      <c r="DG557" s="60"/>
      <c r="DH557" s="60"/>
      <c r="DI557" s="60"/>
      <c r="DJ557" s="60"/>
    </row>
    <row r="558">
      <c r="DE558" s="60"/>
      <c r="DF558" s="60"/>
      <c r="DG558" s="60"/>
      <c r="DH558" s="60"/>
      <c r="DI558" s="60"/>
      <c r="DJ558" s="60"/>
    </row>
    <row r="559">
      <c r="DE559" s="60"/>
      <c r="DF559" s="60"/>
      <c r="DG559" s="60"/>
      <c r="DH559" s="60"/>
      <c r="DI559" s="60"/>
      <c r="DJ559" s="60"/>
    </row>
    <row r="560">
      <c r="DE560" s="60"/>
      <c r="DF560" s="60"/>
      <c r="DG560" s="60"/>
      <c r="DH560" s="60"/>
      <c r="DI560" s="60"/>
      <c r="DJ560" s="60"/>
    </row>
    <row r="561">
      <c r="DE561" s="60"/>
      <c r="DF561" s="60"/>
      <c r="DG561" s="60"/>
      <c r="DH561" s="60"/>
      <c r="DI561" s="60"/>
      <c r="DJ561" s="60"/>
    </row>
    <row r="562">
      <c r="DE562" s="60"/>
      <c r="DF562" s="60"/>
      <c r="DG562" s="60"/>
      <c r="DH562" s="60"/>
      <c r="DI562" s="60"/>
      <c r="DJ562" s="60"/>
    </row>
    <row r="563">
      <c r="DE563" s="60"/>
      <c r="DF563" s="60"/>
      <c r="DG563" s="60"/>
      <c r="DH563" s="60"/>
      <c r="DI563" s="60"/>
      <c r="DJ563" s="60"/>
    </row>
    <row r="564">
      <c r="DE564" s="60"/>
      <c r="DF564" s="60"/>
      <c r="DG564" s="60"/>
      <c r="DH564" s="60"/>
      <c r="DI564" s="60"/>
      <c r="DJ564" s="60"/>
    </row>
    <row r="565">
      <c r="DE565" s="60"/>
      <c r="DF565" s="60"/>
      <c r="DG565" s="60"/>
      <c r="DH565" s="60"/>
      <c r="DI565" s="60"/>
      <c r="DJ565" s="60"/>
    </row>
    <row r="566">
      <c r="DE566" s="60"/>
      <c r="DF566" s="60"/>
      <c r="DG566" s="60"/>
      <c r="DH566" s="60"/>
      <c r="DI566" s="60"/>
      <c r="DJ566" s="60"/>
    </row>
    <row r="567">
      <c r="DE567" s="60"/>
      <c r="DF567" s="60"/>
      <c r="DG567" s="60"/>
      <c r="DH567" s="60"/>
      <c r="DI567" s="60"/>
      <c r="DJ567" s="60"/>
    </row>
    <row r="568">
      <c r="DE568" s="60"/>
      <c r="DF568" s="60"/>
      <c r="DG568" s="60"/>
      <c r="DH568" s="60"/>
      <c r="DI568" s="60"/>
      <c r="DJ568" s="60"/>
    </row>
    <row r="569">
      <c r="DE569" s="60"/>
      <c r="DF569" s="60"/>
      <c r="DG569" s="60"/>
      <c r="DH569" s="60"/>
      <c r="DI569" s="60"/>
      <c r="DJ569" s="60"/>
    </row>
    <row r="570">
      <c r="DE570" s="60"/>
      <c r="DF570" s="60"/>
      <c r="DG570" s="60"/>
      <c r="DH570" s="60"/>
      <c r="DI570" s="60"/>
      <c r="DJ570" s="60"/>
    </row>
    <row r="571">
      <c r="DE571" s="60"/>
      <c r="DF571" s="60"/>
      <c r="DG571" s="60"/>
      <c r="DH571" s="60"/>
      <c r="DI571" s="60"/>
      <c r="DJ571" s="60"/>
    </row>
    <row r="572">
      <c r="DE572" s="60"/>
      <c r="DF572" s="60"/>
      <c r="DG572" s="60"/>
      <c r="DH572" s="60"/>
      <c r="DI572" s="60"/>
      <c r="DJ572" s="60"/>
    </row>
    <row r="573">
      <c r="DE573" s="60"/>
      <c r="DF573" s="60"/>
      <c r="DG573" s="60"/>
      <c r="DH573" s="60"/>
      <c r="DI573" s="60"/>
      <c r="DJ573" s="60"/>
    </row>
    <row r="574">
      <c r="DE574" s="60"/>
      <c r="DF574" s="60"/>
      <c r="DG574" s="60"/>
      <c r="DH574" s="60"/>
      <c r="DI574" s="60"/>
      <c r="DJ574" s="60"/>
    </row>
    <row r="575">
      <c r="DE575" s="60"/>
      <c r="DF575" s="60"/>
      <c r="DG575" s="60"/>
      <c r="DH575" s="60"/>
      <c r="DI575" s="60"/>
      <c r="DJ575" s="60"/>
    </row>
    <row r="576">
      <c r="DE576" s="60"/>
      <c r="DF576" s="60"/>
      <c r="DG576" s="60"/>
      <c r="DH576" s="60"/>
      <c r="DI576" s="60"/>
      <c r="DJ576" s="60"/>
    </row>
    <row r="577">
      <c r="DE577" s="60"/>
      <c r="DF577" s="60"/>
      <c r="DG577" s="60"/>
      <c r="DH577" s="60"/>
      <c r="DI577" s="60"/>
      <c r="DJ577" s="60"/>
    </row>
    <row r="578">
      <c r="DE578" s="60"/>
      <c r="DF578" s="60"/>
      <c r="DG578" s="60"/>
      <c r="DH578" s="60"/>
      <c r="DI578" s="60"/>
      <c r="DJ578" s="60"/>
    </row>
    <row r="579">
      <c r="DE579" s="60"/>
      <c r="DF579" s="60"/>
      <c r="DG579" s="60"/>
      <c r="DH579" s="60"/>
      <c r="DI579" s="60"/>
      <c r="DJ579" s="60"/>
    </row>
    <row r="580">
      <c r="DE580" s="60"/>
      <c r="DF580" s="60"/>
      <c r="DG580" s="60"/>
      <c r="DH580" s="60"/>
      <c r="DI580" s="60"/>
      <c r="DJ580" s="60"/>
    </row>
    <row r="581">
      <c r="DE581" s="60"/>
      <c r="DF581" s="60"/>
      <c r="DG581" s="60"/>
      <c r="DH581" s="60"/>
      <c r="DI581" s="60"/>
      <c r="DJ581" s="60"/>
    </row>
    <row r="582">
      <c r="DE582" s="60"/>
      <c r="DF582" s="60"/>
      <c r="DG582" s="60"/>
      <c r="DH582" s="60"/>
      <c r="DI582" s="60"/>
      <c r="DJ582" s="60"/>
    </row>
    <row r="583">
      <c r="DE583" s="60"/>
      <c r="DF583" s="60"/>
      <c r="DG583" s="60"/>
      <c r="DH583" s="60"/>
      <c r="DI583" s="60"/>
      <c r="DJ583" s="60"/>
    </row>
    <row r="584">
      <c r="DE584" s="60"/>
      <c r="DF584" s="60"/>
      <c r="DG584" s="60"/>
      <c r="DH584" s="60"/>
      <c r="DI584" s="60"/>
      <c r="DJ584" s="60"/>
    </row>
    <row r="585">
      <c r="DE585" s="60"/>
      <c r="DF585" s="60"/>
      <c r="DG585" s="60"/>
      <c r="DH585" s="60"/>
      <c r="DI585" s="60"/>
      <c r="DJ585" s="60"/>
    </row>
    <row r="586">
      <c r="DE586" s="60"/>
      <c r="DF586" s="60"/>
      <c r="DG586" s="60"/>
      <c r="DH586" s="60"/>
      <c r="DI586" s="60"/>
      <c r="DJ586" s="60"/>
    </row>
    <row r="587">
      <c r="DE587" s="60"/>
      <c r="DF587" s="60"/>
      <c r="DG587" s="60"/>
      <c r="DH587" s="60"/>
      <c r="DI587" s="60"/>
      <c r="DJ587" s="60"/>
    </row>
    <row r="588">
      <c r="DE588" s="60"/>
      <c r="DF588" s="60"/>
      <c r="DG588" s="60"/>
      <c r="DH588" s="60"/>
      <c r="DI588" s="60"/>
      <c r="DJ588" s="60"/>
    </row>
    <row r="589">
      <c r="DE589" s="60"/>
      <c r="DF589" s="60"/>
      <c r="DG589" s="60"/>
      <c r="DH589" s="60"/>
      <c r="DI589" s="60"/>
      <c r="DJ589" s="60"/>
    </row>
    <row r="590">
      <c r="DE590" s="60"/>
      <c r="DF590" s="60"/>
      <c r="DG590" s="60"/>
      <c r="DH590" s="60"/>
      <c r="DI590" s="60"/>
      <c r="DJ590" s="60"/>
    </row>
    <row r="591">
      <c r="DE591" s="60"/>
      <c r="DF591" s="60"/>
      <c r="DG591" s="60"/>
      <c r="DH591" s="60"/>
      <c r="DI591" s="60"/>
      <c r="DJ591" s="60"/>
    </row>
    <row r="592">
      <c r="DE592" s="60"/>
      <c r="DF592" s="60"/>
      <c r="DG592" s="60"/>
      <c r="DH592" s="60"/>
      <c r="DI592" s="60"/>
      <c r="DJ592" s="60"/>
    </row>
    <row r="593">
      <c r="DE593" s="60"/>
      <c r="DF593" s="60"/>
      <c r="DG593" s="60"/>
      <c r="DH593" s="60"/>
      <c r="DI593" s="60"/>
      <c r="DJ593" s="60"/>
    </row>
    <row r="594">
      <c r="DE594" s="60"/>
      <c r="DF594" s="60"/>
      <c r="DG594" s="60"/>
      <c r="DH594" s="60"/>
      <c r="DI594" s="60"/>
      <c r="DJ594" s="60"/>
    </row>
    <row r="595">
      <c r="DE595" s="60"/>
      <c r="DF595" s="60"/>
      <c r="DG595" s="60"/>
      <c r="DH595" s="60"/>
      <c r="DI595" s="60"/>
      <c r="DJ595" s="60"/>
    </row>
    <row r="596">
      <c r="DE596" s="60"/>
      <c r="DF596" s="60"/>
      <c r="DG596" s="60"/>
      <c r="DH596" s="60"/>
      <c r="DI596" s="60"/>
      <c r="DJ596" s="60"/>
    </row>
    <row r="597">
      <c r="DE597" s="60"/>
      <c r="DF597" s="60"/>
      <c r="DG597" s="60"/>
      <c r="DH597" s="60"/>
      <c r="DI597" s="60"/>
      <c r="DJ597" s="60"/>
    </row>
    <row r="598">
      <c r="DE598" s="60"/>
      <c r="DF598" s="60"/>
      <c r="DG598" s="60"/>
      <c r="DH598" s="60"/>
      <c r="DI598" s="60"/>
      <c r="DJ598" s="60"/>
    </row>
    <row r="599">
      <c r="DE599" s="60"/>
      <c r="DF599" s="60"/>
      <c r="DG599" s="60"/>
      <c r="DH599" s="60"/>
      <c r="DI599" s="60"/>
      <c r="DJ599" s="60"/>
    </row>
    <row r="600">
      <c r="DE600" s="60"/>
      <c r="DF600" s="60"/>
      <c r="DG600" s="60"/>
      <c r="DH600" s="60"/>
      <c r="DI600" s="60"/>
      <c r="DJ600" s="60"/>
    </row>
    <row r="601">
      <c r="DE601" s="60"/>
      <c r="DF601" s="60"/>
      <c r="DG601" s="60"/>
      <c r="DH601" s="60"/>
      <c r="DI601" s="60"/>
      <c r="DJ601" s="60"/>
    </row>
    <row r="602">
      <c r="DE602" s="60"/>
      <c r="DF602" s="60"/>
      <c r="DG602" s="60"/>
      <c r="DH602" s="60"/>
      <c r="DI602" s="60"/>
      <c r="DJ602" s="60"/>
    </row>
    <row r="603">
      <c r="DE603" s="60"/>
      <c r="DF603" s="60"/>
      <c r="DG603" s="60"/>
      <c r="DH603" s="60"/>
      <c r="DI603" s="60"/>
      <c r="DJ603" s="60"/>
    </row>
    <row r="604">
      <c r="DE604" s="60"/>
      <c r="DF604" s="60"/>
      <c r="DG604" s="60"/>
      <c r="DH604" s="60"/>
      <c r="DI604" s="60"/>
      <c r="DJ604" s="60"/>
    </row>
    <row r="605">
      <c r="DE605" s="60"/>
      <c r="DF605" s="60"/>
      <c r="DG605" s="60"/>
      <c r="DH605" s="60"/>
      <c r="DI605" s="60"/>
      <c r="DJ605" s="60"/>
    </row>
    <row r="606">
      <c r="DE606" s="60"/>
      <c r="DF606" s="60"/>
      <c r="DG606" s="60"/>
      <c r="DH606" s="60"/>
      <c r="DI606" s="60"/>
      <c r="DJ606" s="60"/>
    </row>
    <row r="607">
      <c r="DE607" s="60"/>
      <c r="DF607" s="60"/>
      <c r="DG607" s="60"/>
      <c r="DH607" s="60"/>
      <c r="DI607" s="60"/>
      <c r="DJ607" s="60"/>
    </row>
    <row r="608">
      <c r="DE608" s="60"/>
      <c r="DF608" s="60"/>
      <c r="DG608" s="60"/>
      <c r="DH608" s="60"/>
      <c r="DI608" s="60"/>
      <c r="DJ608" s="60"/>
    </row>
    <row r="609">
      <c r="DE609" s="60"/>
      <c r="DF609" s="60"/>
      <c r="DG609" s="60"/>
      <c r="DH609" s="60"/>
      <c r="DI609" s="60"/>
      <c r="DJ609" s="60"/>
    </row>
    <row r="610">
      <c r="DE610" s="60"/>
      <c r="DF610" s="60"/>
      <c r="DG610" s="60"/>
      <c r="DH610" s="60"/>
      <c r="DI610" s="60"/>
      <c r="DJ610" s="60"/>
    </row>
    <row r="611">
      <c r="DE611" s="60"/>
      <c r="DF611" s="60"/>
      <c r="DG611" s="60"/>
      <c r="DH611" s="60"/>
      <c r="DI611" s="60"/>
      <c r="DJ611" s="60"/>
    </row>
    <row r="612">
      <c r="DE612" s="60"/>
      <c r="DF612" s="60"/>
      <c r="DG612" s="60"/>
      <c r="DH612" s="60"/>
      <c r="DI612" s="60"/>
      <c r="DJ612" s="60"/>
    </row>
    <row r="613">
      <c r="DE613" s="60"/>
      <c r="DF613" s="60"/>
      <c r="DG613" s="60"/>
      <c r="DH613" s="60"/>
      <c r="DI613" s="60"/>
      <c r="DJ613" s="60"/>
    </row>
    <row r="614">
      <c r="DE614" s="60"/>
      <c r="DF614" s="60"/>
      <c r="DG614" s="60"/>
      <c r="DH614" s="60"/>
      <c r="DI614" s="60"/>
      <c r="DJ614" s="60"/>
    </row>
    <row r="615">
      <c r="DE615" s="60"/>
      <c r="DF615" s="60"/>
      <c r="DG615" s="60"/>
      <c r="DH615" s="60"/>
      <c r="DI615" s="60"/>
      <c r="DJ615" s="60"/>
    </row>
    <row r="616">
      <c r="DE616" s="60"/>
      <c r="DF616" s="60"/>
      <c r="DG616" s="60"/>
      <c r="DH616" s="60"/>
      <c r="DI616" s="60"/>
      <c r="DJ616" s="60"/>
    </row>
    <row r="617">
      <c r="DE617" s="60"/>
      <c r="DF617" s="60"/>
      <c r="DG617" s="60"/>
      <c r="DH617" s="60"/>
      <c r="DI617" s="60"/>
      <c r="DJ617" s="60"/>
    </row>
    <row r="618">
      <c r="DE618" s="60"/>
      <c r="DF618" s="60"/>
      <c r="DG618" s="60"/>
      <c r="DH618" s="60"/>
      <c r="DI618" s="60"/>
      <c r="DJ618" s="60"/>
    </row>
    <row r="619">
      <c r="DE619" s="60"/>
      <c r="DF619" s="60"/>
      <c r="DG619" s="60"/>
      <c r="DH619" s="60"/>
      <c r="DI619" s="60"/>
      <c r="DJ619" s="60"/>
    </row>
    <row r="620">
      <c r="DE620" s="60"/>
      <c r="DF620" s="60"/>
      <c r="DG620" s="60"/>
      <c r="DH620" s="60"/>
      <c r="DI620" s="60"/>
      <c r="DJ620" s="60"/>
    </row>
    <row r="621">
      <c r="DE621" s="60"/>
      <c r="DF621" s="60"/>
      <c r="DG621" s="60"/>
      <c r="DH621" s="60"/>
      <c r="DI621" s="60"/>
      <c r="DJ621" s="60"/>
    </row>
    <row r="622">
      <c r="DE622" s="60"/>
      <c r="DF622" s="60"/>
      <c r="DG622" s="60"/>
      <c r="DH622" s="60"/>
      <c r="DI622" s="60"/>
      <c r="DJ622" s="60"/>
    </row>
    <row r="623">
      <c r="DE623" s="60"/>
      <c r="DF623" s="60"/>
      <c r="DG623" s="60"/>
      <c r="DH623" s="60"/>
      <c r="DI623" s="60"/>
      <c r="DJ623" s="60"/>
    </row>
    <row r="624">
      <c r="DE624" s="60"/>
      <c r="DF624" s="60"/>
      <c r="DG624" s="60"/>
      <c r="DH624" s="60"/>
      <c r="DI624" s="60"/>
      <c r="DJ624" s="60"/>
    </row>
    <row r="625">
      <c r="DE625" s="60"/>
      <c r="DF625" s="60"/>
      <c r="DG625" s="60"/>
      <c r="DH625" s="60"/>
      <c r="DI625" s="60"/>
      <c r="DJ625" s="60"/>
    </row>
    <row r="626">
      <c r="DE626" s="60"/>
      <c r="DF626" s="60"/>
      <c r="DG626" s="60"/>
      <c r="DH626" s="60"/>
      <c r="DI626" s="60"/>
      <c r="DJ626" s="60"/>
    </row>
    <row r="627">
      <c r="DE627" s="60"/>
      <c r="DF627" s="60"/>
      <c r="DG627" s="60"/>
      <c r="DH627" s="60"/>
      <c r="DI627" s="60"/>
      <c r="DJ627" s="60"/>
    </row>
    <row r="628">
      <c r="DE628" s="60"/>
      <c r="DF628" s="60"/>
      <c r="DG628" s="60"/>
      <c r="DH628" s="60"/>
      <c r="DI628" s="60"/>
      <c r="DJ628" s="60"/>
    </row>
    <row r="629">
      <c r="DE629" s="60"/>
      <c r="DF629" s="60"/>
      <c r="DG629" s="60"/>
      <c r="DH629" s="60"/>
      <c r="DI629" s="60"/>
      <c r="DJ629" s="60"/>
    </row>
    <row r="630">
      <c r="DE630" s="60"/>
      <c r="DF630" s="60"/>
      <c r="DG630" s="60"/>
      <c r="DH630" s="60"/>
      <c r="DI630" s="60"/>
      <c r="DJ630" s="60"/>
    </row>
    <row r="631">
      <c r="DE631" s="60"/>
      <c r="DF631" s="60"/>
      <c r="DG631" s="60"/>
      <c r="DH631" s="60"/>
      <c r="DI631" s="60"/>
      <c r="DJ631" s="60"/>
    </row>
    <row r="632">
      <c r="DE632" s="60"/>
      <c r="DF632" s="60"/>
      <c r="DG632" s="60"/>
      <c r="DH632" s="60"/>
      <c r="DI632" s="60"/>
      <c r="DJ632" s="60"/>
    </row>
    <row r="633">
      <c r="DE633" s="60"/>
      <c r="DF633" s="60"/>
      <c r="DG633" s="60"/>
      <c r="DH633" s="60"/>
      <c r="DI633" s="60"/>
      <c r="DJ633" s="60"/>
    </row>
    <row r="634">
      <c r="DE634" s="60"/>
      <c r="DF634" s="60"/>
      <c r="DG634" s="60"/>
      <c r="DH634" s="60"/>
      <c r="DI634" s="60"/>
      <c r="DJ634" s="60"/>
    </row>
    <row r="635">
      <c r="DE635" s="60"/>
      <c r="DF635" s="60"/>
      <c r="DG635" s="60"/>
      <c r="DH635" s="60"/>
      <c r="DI635" s="60"/>
      <c r="DJ635" s="60"/>
    </row>
    <row r="636">
      <c r="DE636" s="60"/>
      <c r="DF636" s="60"/>
      <c r="DG636" s="60"/>
      <c r="DH636" s="60"/>
      <c r="DI636" s="60"/>
      <c r="DJ636" s="60"/>
    </row>
    <row r="637">
      <c r="DE637" s="60"/>
      <c r="DF637" s="60"/>
      <c r="DG637" s="60"/>
      <c r="DH637" s="60"/>
      <c r="DI637" s="60"/>
      <c r="DJ637" s="60"/>
    </row>
    <row r="638">
      <c r="DE638" s="60"/>
      <c r="DF638" s="60"/>
      <c r="DG638" s="60"/>
      <c r="DH638" s="60"/>
      <c r="DI638" s="60"/>
      <c r="DJ638" s="60"/>
    </row>
    <row r="639">
      <c r="DE639" s="60"/>
      <c r="DF639" s="60"/>
      <c r="DG639" s="60"/>
      <c r="DH639" s="60"/>
      <c r="DI639" s="60"/>
      <c r="DJ639" s="60"/>
    </row>
    <row r="640">
      <c r="DE640" s="60"/>
      <c r="DF640" s="60"/>
      <c r="DG640" s="60"/>
      <c r="DH640" s="60"/>
      <c r="DI640" s="60"/>
      <c r="DJ640" s="60"/>
    </row>
    <row r="641">
      <c r="DE641" s="60"/>
      <c r="DF641" s="60"/>
      <c r="DG641" s="60"/>
      <c r="DH641" s="60"/>
      <c r="DI641" s="60"/>
      <c r="DJ641" s="60"/>
    </row>
    <row r="642">
      <c r="DE642" s="60"/>
      <c r="DF642" s="60"/>
      <c r="DG642" s="60"/>
      <c r="DH642" s="60"/>
      <c r="DI642" s="60"/>
      <c r="DJ642" s="60"/>
    </row>
    <row r="643">
      <c r="DE643" s="60"/>
      <c r="DF643" s="60"/>
      <c r="DG643" s="60"/>
      <c r="DH643" s="60"/>
      <c r="DI643" s="60"/>
      <c r="DJ643" s="60"/>
    </row>
    <row r="644">
      <c r="DE644" s="60"/>
      <c r="DF644" s="60"/>
      <c r="DG644" s="60"/>
      <c r="DH644" s="60"/>
      <c r="DI644" s="60"/>
      <c r="DJ644" s="60"/>
    </row>
    <row r="645">
      <c r="DE645" s="60"/>
      <c r="DF645" s="60"/>
      <c r="DG645" s="60"/>
      <c r="DH645" s="60"/>
      <c r="DI645" s="60"/>
      <c r="DJ645" s="60"/>
    </row>
    <row r="646">
      <c r="DE646" s="60"/>
      <c r="DF646" s="60"/>
      <c r="DG646" s="60"/>
      <c r="DH646" s="60"/>
      <c r="DI646" s="60"/>
      <c r="DJ646" s="60"/>
    </row>
    <row r="647">
      <c r="DE647" s="60"/>
      <c r="DF647" s="60"/>
      <c r="DG647" s="60"/>
      <c r="DH647" s="60"/>
      <c r="DI647" s="60"/>
      <c r="DJ647" s="60"/>
    </row>
    <row r="648">
      <c r="DE648" s="60"/>
      <c r="DF648" s="60"/>
      <c r="DG648" s="60"/>
      <c r="DH648" s="60"/>
      <c r="DI648" s="60"/>
      <c r="DJ648" s="60"/>
    </row>
    <row r="649">
      <c r="DE649" s="60"/>
      <c r="DF649" s="60"/>
      <c r="DG649" s="60"/>
      <c r="DH649" s="60"/>
      <c r="DI649" s="60"/>
      <c r="DJ649" s="60"/>
    </row>
    <row r="650">
      <c r="DE650" s="60"/>
      <c r="DF650" s="60"/>
      <c r="DG650" s="60"/>
      <c r="DH650" s="60"/>
      <c r="DI650" s="60"/>
      <c r="DJ650" s="60"/>
    </row>
    <row r="651">
      <c r="DE651" s="60"/>
      <c r="DF651" s="60"/>
      <c r="DG651" s="60"/>
      <c r="DH651" s="60"/>
      <c r="DI651" s="60"/>
      <c r="DJ651" s="60"/>
    </row>
    <row r="652">
      <c r="DE652" s="60"/>
      <c r="DF652" s="60"/>
      <c r="DG652" s="60"/>
      <c r="DH652" s="60"/>
      <c r="DI652" s="60"/>
      <c r="DJ652" s="60"/>
    </row>
    <row r="653">
      <c r="DE653" s="60"/>
      <c r="DF653" s="60"/>
      <c r="DG653" s="60"/>
      <c r="DH653" s="60"/>
      <c r="DI653" s="60"/>
      <c r="DJ653" s="60"/>
    </row>
    <row r="654">
      <c r="DE654" s="60"/>
      <c r="DF654" s="60"/>
      <c r="DG654" s="60"/>
      <c r="DH654" s="60"/>
      <c r="DI654" s="60"/>
      <c r="DJ654" s="60"/>
    </row>
    <row r="655">
      <c r="DE655" s="60"/>
      <c r="DF655" s="60"/>
      <c r="DG655" s="60"/>
      <c r="DH655" s="60"/>
      <c r="DI655" s="60"/>
      <c r="DJ655" s="60"/>
    </row>
    <row r="656">
      <c r="DE656" s="60"/>
      <c r="DF656" s="60"/>
      <c r="DG656" s="60"/>
      <c r="DH656" s="60"/>
      <c r="DI656" s="60"/>
      <c r="DJ656" s="60"/>
    </row>
    <row r="657">
      <c r="DE657" s="60"/>
      <c r="DF657" s="60"/>
      <c r="DG657" s="60"/>
      <c r="DH657" s="60"/>
      <c r="DI657" s="60"/>
      <c r="DJ657" s="60"/>
    </row>
    <row r="658">
      <c r="DE658" s="60"/>
      <c r="DF658" s="60"/>
      <c r="DG658" s="60"/>
      <c r="DH658" s="60"/>
      <c r="DI658" s="60"/>
      <c r="DJ658" s="60"/>
    </row>
    <row r="659">
      <c r="DE659" s="60"/>
      <c r="DF659" s="60"/>
      <c r="DG659" s="60"/>
      <c r="DH659" s="60"/>
      <c r="DI659" s="60"/>
      <c r="DJ659" s="60"/>
    </row>
    <row r="660">
      <c r="DE660" s="60"/>
      <c r="DF660" s="60"/>
      <c r="DG660" s="60"/>
      <c r="DH660" s="60"/>
      <c r="DI660" s="60"/>
      <c r="DJ660" s="60"/>
    </row>
    <row r="661">
      <c r="DE661" s="60"/>
      <c r="DF661" s="60"/>
      <c r="DG661" s="60"/>
      <c r="DH661" s="60"/>
      <c r="DI661" s="60"/>
      <c r="DJ661" s="60"/>
    </row>
    <row r="662">
      <c r="DE662" s="60"/>
      <c r="DF662" s="60"/>
      <c r="DG662" s="60"/>
      <c r="DH662" s="60"/>
      <c r="DI662" s="60"/>
      <c r="DJ662" s="60"/>
    </row>
    <row r="663">
      <c r="DE663" s="60"/>
      <c r="DF663" s="60"/>
      <c r="DG663" s="60"/>
      <c r="DH663" s="60"/>
      <c r="DI663" s="60"/>
      <c r="DJ663" s="60"/>
    </row>
    <row r="664">
      <c r="DE664" s="60"/>
      <c r="DF664" s="60"/>
      <c r="DG664" s="60"/>
      <c r="DH664" s="60"/>
      <c r="DI664" s="60"/>
      <c r="DJ664" s="60"/>
    </row>
    <row r="665">
      <c r="DE665" s="60"/>
      <c r="DF665" s="60"/>
      <c r="DG665" s="60"/>
      <c r="DH665" s="60"/>
      <c r="DI665" s="60"/>
      <c r="DJ665" s="60"/>
    </row>
    <row r="666">
      <c r="DE666" s="60"/>
      <c r="DF666" s="60"/>
      <c r="DG666" s="60"/>
      <c r="DH666" s="60"/>
      <c r="DI666" s="60"/>
      <c r="DJ666" s="60"/>
    </row>
    <row r="667">
      <c r="DE667" s="60"/>
      <c r="DF667" s="60"/>
      <c r="DG667" s="60"/>
      <c r="DH667" s="60"/>
      <c r="DI667" s="60"/>
      <c r="DJ667" s="60"/>
    </row>
    <row r="668">
      <c r="DE668" s="60"/>
      <c r="DF668" s="60"/>
      <c r="DG668" s="60"/>
      <c r="DH668" s="60"/>
      <c r="DI668" s="60"/>
      <c r="DJ668" s="60"/>
    </row>
    <row r="669">
      <c r="DE669" s="60"/>
      <c r="DF669" s="60"/>
      <c r="DG669" s="60"/>
      <c r="DH669" s="60"/>
      <c r="DI669" s="60"/>
      <c r="DJ669" s="60"/>
    </row>
    <row r="670">
      <c r="DE670" s="60"/>
      <c r="DF670" s="60"/>
      <c r="DG670" s="60"/>
      <c r="DH670" s="60"/>
      <c r="DI670" s="60"/>
      <c r="DJ670" s="60"/>
    </row>
    <row r="671">
      <c r="DE671" s="60"/>
      <c r="DF671" s="60"/>
      <c r="DG671" s="60"/>
      <c r="DH671" s="60"/>
      <c r="DI671" s="60"/>
      <c r="DJ671" s="60"/>
    </row>
    <row r="672">
      <c r="DE672" s="60"/>
      <c r="DF672" s="60"/>
      <c r="DG672" s="60"/>
      <c r="DH672" s="60"/>
      <c r="DI672" s="60"/>
      <c r="DJ672" s="60"/>
    </row>
    <row r="673">
      <c r="DE673" s="60"/>
      <c r="DF673" s="60"/>
      <c r="DG673" s="60"/>
      <c r="DH673" s="60"/>
      <c r="DI673" s="60"/>
      <c r="DJ673" s="60"/>
    </row>
    <row r="674">
      <c r="DE674" s="60"/>
      <c r="DF674" s="60"/>
      <c r="DG674" s="60"/>
      <c r="DH674" s="60"/>
      <c r="DI674" s="60"/>
      <c r="DJ674" s="60"/>
    </row>
    <row r="675">
      <c r="DE675" s="60"/>
      <c r="DF675" s="60"/>
      <c r="DG675" s="60"/>
      <c r="DH675" s="60"/>
      <c r="DI675" s="60"/>
      <c r="DJ675" s="60"/>
    </row>
    <row r="676">
      <c r="DE676" s="60"/>
      <c r="DF676" s="60"/>
      <c r="DG676" s="60"/>
      <c r="DH676" s="60"/>
      <c r="DI676" s="60"/>
      <c r="DJ676" s="60"/>
    </row>
    <row r="677">
      <c r="DE677" s="60"/>
      <c r="DF677" s="60"/>
      <c r="DG677" s="60"/>
      <c r="DH677" s="60"/>
      <c r="DI677" s="60"/>
      <c r="DJ677" s="60"/>
    </row>
    <row r="678">
      <c r="DE678" s="60"/>
      <c r="DF678" s="60"/>
      <c r="DG678" s="60"/>
      <c r="DH678" s="60"/>
      <c r="DI678" s="60"/>
      <c r="DJ678" s="60"/>
    </row>
    <row r="679">
      <c r="DE679" s="60"/>
      <c r="DF679" s="60"/>
      <c r="DG679" s="60"/>
      <c r="DH679" s="60"/>
      <c r="DI679" s="60"/>
      <c r="DJ679" s="60"/>
    </row>
    <row r="680">
      <c r="DE680" s="60"/>
      <c r="DF680" s="60"/>
      <c r="DG680" s="60"/>
      <c r="DH680" s="60"/>
      <c r="DI680" s="60"/>
      <c r="DJ680" s="60"/>
    </row>
    <row r="681">
      <c r="DE681" s="60"/>
      <c r="DF681" s="60"/>
      <c r="DG681" s="60"/>
      <c r="DH681" s="60"/>
      <c r="DI681" s="60"/>
      <c r="DJ681" s="60"/>
    </row>
    <row r="682">
      <c r="DE682" s="60"/>
      <c r="DF682" s="60"/>
      <c r="DG682" s="60"/>
      <c r="DH682" s="60"/>
      <c r="DI682" s="60"/>
      <c r="DJ682" s="60"/>
    </row>
    <row r="683">
      <c r="DE683" s="60"/>
      <c r="DF683" s="60"/>
      <c r="DG683" s="60"/>
      <c r="DH683" s="60"/>
      <c r="DI683" s="60"/>
      <c r="DJ683" s="60"/>
    </row>
    <row r="684">
      <c r="DE684" s="60"/>
      <c r="DF684" s="60"/>
      <c r="DG684" s="60"/>
      <c r="DH684" s="60"/>
      <c r="DI684" s="60"/>
      <c r="DJ684" s="60"/>
    </row>
    <row r="685">
      <c r="DE685" s="60"/>
      <c r="DF685" s="60"/>
      <c r="DG685" s="60"/>
      <c r="DH685" s="60"/>
      <c r="DI685" s="60"/>
      <c r="DJ685" s="60"/>
    </row>
    <row r="686">
      <c r="DE686" s="60"/>
      <c r="DF686" s="60"/>
      <c r="DG686" s="60"/>
      <c r="DH686" s="60"/>
      <c r="DI686" s="60"/>
      <c r="DJ686" s="60"/>
    </row>
    <row r="687">
      <c r="DE687" s="60"/>
      <c r="DF687" s="60"/>
      <c r="DG687" s="60"/>
      <c r="DH687" s="60"/>
      <c r="DI687" s="60"/>
      <c r="DJ687" s="60"/>
    </row>
    <row r="688">
      <c r="DE688" s="60"/>
      <c r="DF688" s="60"/>
      <c r="DG688" s="60"/>
      <c r="DH688" s="60"/>
      <c r="DI688" s="60"/>
      <c r="DJ688" s="60"/>
    </row>
    <row r="689">
      <c r="DE689" s="60"/>
      <c r="DF689" s="60"/>
      <c r="DG689" s="60"/>
      <c r="DH689" s="60"/>
      <c r="DI689" s="60"/>
      <c r="DJ689" s="60"/>
    </row>
    <row r="690">
      <c r="DE690" s="60"/>
      <c r="DF690" s="60"/>
      <c r="DG690" s="60"/>
      <c r="DH690" s="60"/>
      <c r="DI690" s="60"/>
      <c r="DJ690" s="60"/>
    </row>
    <row r="691">
      <c r="DE691" s="60"/>
      <c r="DF691" s="60"/>
      <c r="DG691" s="60"/>
      <c r="DH691" s="60"/>
      <c r="DI691" s="60"/>
      <c r="DJ691" s="60"/>
    </row>
    <row r="692">
      <c r="DE692" s="60"/>
      <c r="DF692" s="60"/>
      <c r="DG692" s="60"/>
      <c r="DH692" s="60"/>
      <c r="DI692" s="60"/>
      <c r="DJ692" s="60"/>
    </row>
    <row r="693">
      <c r="DE693" s="60"/>
      <c r="DF693" s="60"/>
      <c r="DG693" s="60"/>
      <c r="DH693" s="60"/>
      <c r="DI693" s="60"/>
      <c r="DJ693" s="60"/>
    </row>
    <row r="694">
      <c r="DE694" s="60"/>
      <c r="DF694" s="60"/>
      <c r="DG694" s="60"/>
      <c r="DH694" s="60"/>
      <c r="DI694" s="60"/>
      <c r="DJ694" s="60"/>
    </row>
    <row r="695">
      <c r="DE695" s="60"/>
      <c r="DF695" s="60"/>
      <c r="DG695" s="60"/>
      <c r="DH695" s="60"/>
      <c r="DI695" s="60"/>
      <c r="DJ695" s="60"/>
    </row>
    <row r="696">
      <c r="DE696" s="60"/>
      <c r="DF696" s="60"/>
      <c r="DG696" s="60"/>
      <c r="DH696" s="60"/>
      <c r="DI696" s="60"/>
      <c r="DJ696" s="60"/>
    </row>
    <row r="697">
      <c r="DE697" s="60"/>
      <c r="DF697" s="60"/>
      <c r="DG697" s="60"/>
      <c r="DH697" s="60"/>
      <c r="DI697" s="60"/>
      <c r="DJ697" s="60"/>
    </row>
    <row r="698">
      <c r="DE698" s="60"/>
      <c r="DF698" s="60"/>
      <c r="DG698" s="60"/>
      <c r="DH698" s="60"/>
      <c r="DI698" s="60"/>
      <c r="DJ698" s="60"/>
    </row>
    <row r="699">
      <c r="DE699" s="60"/>
      <c r="DF699" s="60"/>
      <c r="DG699" s="60"/>
      <c r="DH699" s="60"/>
      <c r="DI699" s="60"/>
      <c r="DJ699" s="60"/>
    </row>
    <row r="700">
      <c r="DE700" s="60"/>
      <c r="DF700" s="60"/>
      <c r="DG700" s="60"/>
      <c r="DH700" s="60"/>
      <c r="DI700" s="60"/>
      <c r="DJ700" s="60"/>
    </row>
    <row r="701">
      <c r="DE701" s="60"/>
      <c r="DF701" s="60"/>
      <c r="DG701" s="60"/>
      <c r="DH701" s="60"/>
      <c r="DI701" s="60"/>
      <c r="DJ701" s="60"/>
    </row>
    <row r="702">
      <c r="DE702" s="60"/>
      <c r="DF702" s="60"/>
      <c r="DG702" s="60"/>
      <c r="DH702" s="60"/>
      <c r="DI702" s="60"/>
      <c r="DJ702" s="60"/>
    </row>
    <row r="703">
      <c r="DE703" s="60"/>
      <c r="DF703" s="60"/>
      <c r="DG703" s="60"/>
      <c r="DH703" s="60"/>
      <c r="DI703" s="60"/>
      <c r="DJ703" s="60"/>
    </row>
    <row r="704">
      <c r="DE704" s="60"/>
      <c r="DF704" s="60"/>
      <c r="DG704" s="60"/>
      <c r="DH704" s="60"/>
      <c r="DI704" s="60"/>
      <c r="DJ704" s="60"/>
    </row>
    <row r="705">
      <c r="DE705" s="60"/>
      <c r="DF705" s="60"/>
      <c r="DG705" s="60"/>
      <c r="DH705" s="60"/>
      <c r="DI705" s="60"/>
      <c r="DJ705" s="60"/>
    </row>
    <row r="706">
      <c r="DE706" s="60"/>
      <c r="DF706" s="60"/>
      <c r="DG706" s="60"/>
      <c r="DH706" s="60"/>
      <c r="DI706" s="60"/>
      <c r="DJ706" s="60"/>
    </row>
    <row r="707">
      <c r="DE707" s="60"/>
      <c r="DF707" s="60"/>
      <c r="DG707" s="60"/>
      <c r="DH707" s="60"/>
      <c r="DI707" s="60"/>
      <c r="DJ707" s="60"/>
    </row>
    <row r="708">
      <c r="DE708" s="60"/>
      <c r="DF708" s="60"/>
      <c r="DG708" s="60"/>
      <c r="DH708" s="60"/>
      <c r="DI708" s="60"/>
      <c r="DJ708" s="60"/>
    </row>
    <row r="709">
      <c r="DE709" s="60"/>
      <c r="DF709" s="60"/>
      <c r="DG709" s="60"/>
      <c r="DH709" s="60"/>
      <c r="DI709" s="60"/>
      <c r="DJ709" s="60"/>
    </row>
    <row r="710">
      <c r="DE710" s="60"/>
      <c r="DF710" s="60"/>
      <c r="DG710" s="60"/>
      <c r="DH710" s="60"/>
      <c r="DI710" s="60"/>
      <c r="DJ710" s="60"/>
    </row>
    <row r="711">
      <c r="DE711" s="60"/>
      <c r="DF711" s="60"/>
      <c r="DG711" s="60"/>
      <c r="DH711" s="60"/>
      <c r="DI711" s="60"/>
      <c r="DJ711" s="60"/>
    </row>
    <row r="712">
      <c r="DE712" s="60"/>
      <c r="DF712" s="60"/>
      <c r="DG712" s="60"/>
      <c r="DH712" s="60"/>
      <c r="DI712" s="60"/>
      <c r="DJ712" s="60"/>
    </row>
    <row r="713">
      <c r="DE713" s="60"/>
      <c r="DF713" s="60"/>
      <c r="DG713" s="60"/>
      <c r="DH713" s="60"/>
      <c r="DI713" s="60"/>
      <c r="DJ713" s="60"/>
    </row>
    <row r="714">
      <c r="DE714" s="60"/>
      <c r="DF714" s="60"/>
      <c r="DG714" s="60"/>
      <c r="DH714" s="60"/>
      <c r="DI714" s="60"/>
      <c r="DJ714" s="60"/>
    </row>
    <row r="715">
      <c r="DE715" s="60"/>
      <c r="DF715" s="60"/>
      <c r="DG715" s="60"/>
      <c r="DH715" s="60"/>
      <c r="DI715" s="60"/>
      <c r="DJ715" s="60"/>
    </row>
    <row r="716">
      <c r="DE716" s="60"/>
      <c r="DF716" s="60"/>
      <c r="DG716" s="60"/>
      <c r="DH716" s="60"/>
      <c r="DI716" s="60"/>
      <c r="DJ716" s="60"/>
    </row>
    <row r="717">
      <c r="DE717" s="60"/>
      <c r="DF717" s="60"/>
      <c r="DG717" s="60"/>
      <c r="DH717" s="60"/>
      <c r="DI717" s="60"/>
      <c r="DJ717" s="60"/>
    </row>
    <row r="718">
      <c r="DE718" s="60"/>
      <c r="DF718" s="60"/>
      <c r="DG718" s="60"/>
      <c r="DH718" s="60"/>
      <c r="DI718" s="60"/>
      <c r="DJ718" s="60"/>
    </row>
    <row r="719">
      <c r="DE719" s="60"/>
      <c r="DF719" s="60"/>
      <c r="DG719" s="60"/>
      <c r="DH719" s="60"/>
      <c r="DI719" s="60"/>
      <c r="DJ719" s="60"/>
    </row>
    <row r="720">
      <c r="DE720" s="60"/>
      <c r="DF720" s="60"/>
      <c r="DG720" s="60"/>
      <c r="DH720" s="60"/>
      <c r="DI720" s="60"/>
      <c r="DJ720" s="60"/>
    </row>
    <row r="721">
      <c r="DE721" s="60"/>
      <c r="DF721" s="60"/>
      <c r="DG721" s="60"/>
      <c r="DH721" s="60"/>
      <c r="DI721" s="60"/>
      <c r="DJ721" s="60"/>
    </row>
    <row r="722">
      <c r="DE722" s="60"/>
      <c r="DF722" s="60"/>
      <c r="DG722" s="60"/>
      <c r="DH722" s="60"/>
      <c r="DI722" s="60"/>
      <c r="DJ722" s="60"/>
    </row>
    <row r="723">
      <c r="DE723" s="60"/>
      <c r="DF723" s="60"/>
      <c r="DG723" s="60"/>
      <c r="DH723" s="60"/>
      <c r="DI723" s="60"/>
      <c r="DJ723" s="60"/>
    </row>
    <row r="724">
      <c r="DE724" s="60"/>
      <c r="DF724" s="60"/>
      <c r="DG724" s="60"/>
      <c r="DH724" s="60"/>
      <c r="DI724" s="60"/>
      <c r="DJ724" s="60"/>
    </row>
    <row r="725">
      <c r="DE725" s="60"/>
      <c r="DF725" s="60"/>
      <c r="DG725" s="60"/>
      <c r="DH725" s="60"/>
      <c r="DI725" s="60"/>
      <c r="DJ725" s="60"/>
    </row>
    <row r="726">
      <c r="DE726" s="60"/>
      <c r="DF726" s="60"/>
      <c r="DG726" s="60"/>
      <c r="DH726" s="60"/>
      <c r="DI726" s="60"/>
      <c r="DJ726" s="60"/>
    </row>
    <row r="727">
      <c r="DE727" s="60"/>
      <c r="DF727" s="60"/>
      <c r="DG727" s="60"/>
      <c r="DH727" s="60"/>
      <c r="DI727" s="60"/>
      <c r="DJ727" s="60"/>
    </row>
    <row r="728">
      <c r="DE728" s="60"/>
      <c r="DF728" s="60"/>
      <c r="DG728" s="60"/>
      <c r="DH728" s="60"/>
      <c r="DI728" s="60"/>
      <c r="DJ728" s="60"/>
    </row>
    <row r="729">
      <c r="DE729" s="60"/>
      <c r="DF729" s="60"/>
      <c r="DG729" s="60"/>
      <c r="DH729" s="60"/>
      <c r="DI729" s="60"/>
      <c r="DJ729" s="60"/>
    </row>
    <row r="730">
      <c r="DE730" s="60"/>
      <c r="DF730" s="60"/>
      <c r="DG730" s="60"/>
      <c r="DH730" s="60"/>
      <c r="DI730" s="60"/>
      <c r="DJ730" s="60"/>
    </row>
    <row r="731">
      <c r="DE731" s="60"/>
      <c r="DF731" s="60"/>
      <c r="DG731" s="60"/>
      <c r="DH731" s="60"/>
      <c r="DI731" s="60"/>
      <c r="DJ731" s="60"/>
    </row>
    <row r="732">
      <c r="DE732" s="60"/>
      <c r="DF732" s="60"/>
      <c r="DG732" s="60"/>
      <c r="DH732" s="60"/>
      <c r="DI732" s="60"/>
      <c r="DJ732" s="60"/>
    </row>
    <row r="733">
      <c r="DE733" s="60"/>
      <c r="DF733" s="60"/>
      <c r="DG733" s="60"/>
      <c r="DH733" s="60"/>
      <c r="DI733" s="60"/>
      <c r="DJ733" s="60"/>
    </row>
    <row r="734">
      <c r="DE734" s="60"/>
      <c r="DF734" s="60"/>
      <c r="DG734" s="60"/>
      <c r="DH734" s="60"/>
      <c r="DI734" s="60"/>
      <c r="DJ734" s="60"/>
    </row>
    <row r="735">
      <c r="DE735" s="60"/>
      <c r="DF735" s="60"/>
      <c r="DG735" s="60"/>
      <c r="DH735" s="60"/>
      <c r="DI735" s="60"/>
      <c r="DJ735" s="60"/>
    </row>
    <row r="736">
      <c r="DE736" s="60"/>
      <c r="DF736" s="60"/>
      <c r="DG736" s="60"/>
      <c r="DH736" s="60"/>
      <c r="DI736" s="60"/>
      <c r="DJ736" s="60"/>
    </row>
    <row r="737">
      <c r="DE737" s="60"/>
      <c r="DF737" s="60"/>
      <c r="DG737" s="60"/>
      <c r="DH737" s="60"/>
      <c r="DI737" s="60"/>
      <c r="DJ737" s="60"/>
    </row>
    <row r="738">
      <c r="DE738" s="60"/>
      <c r="DF738" s="60"/>
      <c r="DG738" s="60"/>
      <c r="DH738" s="60"/>
      <c r="DI738" s="60"/>
      <c r="DJ738" s="60"/>
    </row>
    <row r="739">
      <c r="DE739" s="60"/>
      <c r="DF739" s="60"/>
      <c r="DG739" s="60"/>
      <c r="DH739" s="60"/>
      <c r="DI739" s="60"/>
      <c r="DJ739" s="60"/>
    </row>
    <row r="740">
      <c r="DE740" s="60"/>
      <c r="DF740" s="60"/>
      <c r="DG740" s="60"/>
      <c r="DH740" s="60"/>
      <c r="DI740" s="60"/>
      <c r="DJ740" s="60"/>
    </row>
    <row r="741">
      <c r="DE741" s="60"/>
      <c r="DF741" s="60"/>
      <c r="DG741" s="60"/>
      <c r="DH741" s="60"/>
      <c r="DI741" s="60"/>
      <c r="DJ741" s="60"/>
    </row>
    <row r="742">
      <c r="DE742" s="60"/>
      <c r="DF742" s="60"/>
      <c r="DG742" s="60"/>
      <c r="DH742" s="60"/>
      <c r="DI742" s="60"/>
      <c r="DJ742" s="60"/>
    </row>
    <row r="743">
      <c r="DE743" s="60"/>
      <c r="DF743" s="60"/>
      <c r="DG743" s="60"/>
      <c r="DH743" s="60"/>
      <c r="DI743" s="60"/>
      <c r="DJ743" s="60"/>
    </row>
    <row r="744">
      <c r="DE744" s="60"/>
      <c r="DF744" s="60"/>
      <c r="DG744" s="60"/>
      <c r="DH744" s="60"/>
      <c r="DI744" s="60"/>
      <c r="DJ744" s="60"/>
    </row>
    <row r="745">
      <c r="DE745" s="60"/>
      <c r="DF745" s="60"/>
      <c r="DG745" s="60"/>
      <c r="DH745" s="60"/>
      <c r="DI745" s="60"/>
      <c r="DJ745" s="60"/>
    </row>
    <row r="746">
      <c r="DE746" s="60"/>
      <c r="DF746" s="60"/>
      <c r="DG746" s="60"/>
      <c r="DH746" s="60"/>
      <c r="DI746" s="60"/>
      <c r="DJ746" s="60"/>
    </row>
    <row r="747">
      <c r="DE747" s="60"/>
      <c r="DF747" s="60"/>
      <c r="DG747" s="60"/>
      <c r="DH747" s="60"/>
      <c r="DI747" s="60"/>
      <c r="DJ747" s="60"/>
    </row>
    <row r="748">
      <c r="DE748" s="60"/>
      <c r="DF748" s="60"/>
      <c r="DG748" s="60"/>
      <c r="DH748" s="60"/>
      <c r="DI748" s="60"/>
      <c r="DJ748" s="60"/>
    </row>
    <row r="749">
      <c r="DE749" s="60"/>
      <c r="DF749" s="60"/>
      <c r="DG749" s="60"/>
      <c r="DH749" s="60"/>
      <c r="DI749" s="60"/>
      <c r="DJ749" s="60"/>
    </row>
    <row r="750">
      <c r="DE750" s="60"/>
      <c r="DF750" s="60"/>
      <c r="DG750" s="60"/>
      <c r="DH750" s="60"/>
      <c r="DI750" s="60"/>
      <c r="DJ750" s="60"/>
    </row>
    <row r="751">
      <c r="DE751" s="60"/>
      <c r="DF751" s="60"/>
      <c r="DG751" s="60"/>
      <c r="DH751" s="60"/>
      <c r="DI751" s="60"/>
      <c r="DJ751" s="60"/>
    </row>
    <row r="752">
      <c r="DE752" s="60"/>
      <c r="DF752" s="60"/>
      <c r="DG752" s="60"/>
      <c r="DH752" s="60"/>
      <c r="DI752" s="60"/>
      <c r="DJ752" s="60"/>
    </row>
    <row r="753">
      <c r="DE753" s="60"/>
      <c r="DF753" s="60"/>
      <c r="DG753" s="60"/>
      <c r="DH753" s="60"/>
      <c r="DI753" s="60"/>
      <c r="DJ753" s="60"/>
    </row>
    <row r="754">
      <c r="DE754" s="60"/>
      <c r="DF754" s="60"/>
      <c r="DG754" s="60"/>
      <c r="DH754" s="60"/>
      <c r="DI754" s="60"/>
      <c r="DJ754" s="60"/>
    </row>
    <row r="755">
      <c r="DE755" s="60"/>
      <c r="DF755" s="60"/>
      <c r="DG755" s="60"/>
      <c r="DH755" s="60"/>
      <c r="DI755" s="60"/>
      <c r="DJ755" s="60"/>
    </row>
    <row r="756">
      <c r="DE756" s="60"/>
      <c r="DF756" s="60"/>
      <c r="DG756" s="60"/>
      <c r="DH756" s="60"/>
      <c r="DI756" s="60"/>
      <c r="DJ756" s="60"/>
    </row>
    <row r="757">
      <c r="DE757" s="60"/>
      <c r="DF757" s="60"/>
      <c r="DG757" s="60"/>
      <c r="DH757" s="60"/>
      <c r="DI757" s="60"/>
      <c r="DJ757" s="60"/>
    </row>
    <row r="758">
      <c r="DE758" s="60"/>
      <c r="DF758" s="60"/>
      <c r="DG758" s="60"/>
      <c r="DH758" s="60"/>
      <c r="DI758" s="60"/>
      <c r="DJ758" s="60"/>
    </row>
    <row r="759">
      <c r="DE759" s="60"/>
      <c r="DF759" s="60"/>
      <c r="DG759" s="60"/>
      <c r="DH759" s="60"/>
      <c r="DI759" s="60"/>
      <c r="DJ759" s="60"/>
    </row>
    <row r="760">
      <c r="DE760" s="60"/>
      <c r="DF760" s="60"/>
      <c r="DG760" s="60"/>
      <c r="DH760" s="60"/>
      <c r="DI760" s="60"/>
      <c r="DJ760" s="60"/>
    </row>
    <row r="761">
      <c r="DE761" s="60"/>
      <c r="DF761" s="60"/>
      <c r="DG761" s="60"/>
      <c r="DH761" s="60"/>
      <c r="DI761" s="60"/>
      <c r="DJ761" s="60"/>
    </row>
    <row r="762">
      <c r="DE762" s="60"/>
      <c r="DF762" s="60"/>
      <c r="DG762" s="60"/>
      <c r="DH762" s="60"/>
      <c r="DI762" s="60"/>
      <c r="DJ762" s="60"/>
    </row>
    <row r="763">
      <c r="DE763" s="60"/>
      <c r="DF763" s="60"/>
      <c r="DG763" s="60"/>
      <c r="DH763" s="60"/>
      <c r="DI763" s="60"/>
      <c r="DJ763" s="60"/>
    </row>
    <row r="764">
      <c r="DE764" s="60"/>
      <c r="DF764" s="60"/>
      <c r="DG764" s="60"/>
      <c r="DH764" s="60"/>
      <c r="DI764" s="60"/>
      <c r="DJ764" s="60"/>
    </row>
    <row r="765">
      <c r="DE765" s="60"/>
      <c r="DF765" s="60"/>
      <c r="DG765" s="60"/>
      <c r="DH765" s="60"/>
      <c r="DI765" s="60"/>
      <c r="DJ765" s="60"/>
    </row>
    <row r="766">
      <c r="DE766" s="60"/>
      <c r="DF766" s="60"/>
      <c r="DG766" s="60"/>
      <c r="DH766" s="60"/>
      <c r="DI766" s="60"/>
      <c r="DJ766" s="60"/>
    </row>
    <row r="767">
      <c r="DE767" s="60"/>
      <c r="DF767" s="60"/>
      <c r="DG767" s="60"/>
      <c r="DH767" s="60"/>
      <c r="DI767" s="60"/>
      <c r="DJ767" s="60"/>
    </row>
    <row r="768">
      <c r="DE768" s="60"/>
      <c r="DF768" s="60"/>
      <c r="DG768" s="60"/>
      <c r="DH768" s="60"/>
      <c r="DI768" s="60"/>
      <c r="DJ768" s="60"/>
    </row>
    <row r="769">
      <c r="DE769" s="60"/>
      <c r="DF769" s="60"/>
      <c r="DG769" s="60"/>
      <c r="DH769" s="60"/>
      <c r="DI769" s="60"/>
      <c r="DJ769" s="60"/>
    </row>
    <row r="770">
      <c r="DE770" s="60"/>
      <c r="DF770" s="60"/>
      <c r="DG770" s="60"/>
      <c r="DH770" s="60"/>
      <c r="DI770" s="60"/>
      <c r="DJ770" s="60"/>
    </row>
    <row r="771">
      <c r="DE771" s="60"/>
      <c r="DF771" s="60"/>
      <c r="DG771" s="60"/>
      <c r="DH771" s="60"/>
      <c r="DI771" s="60"/>
      <c r="DJ771" s="60"/>
    </row>
    <row r="772">
      <c r="DE772" s="60"/>
      <c r="DF772" s="60"/>
      <c r="DG772" s="60"/>
      <c r="DH772" s="60"/>
      <c r="DI772" s="60"/>
      <c r="DJ772" s="60"/>
    </row>
    <row r="773">
      <c r="DE773" s="60"/>
      <c r="DF773" s="60"/>
      <c r="DG773" s="60"/>
      <c r="DH773" s="60"/>
      <c r="DI773" s="60"/>
      <c r="DJ773" s="60"/>
    </row>
    <row r="774">
      <c r="DE774" s="60"/>
      <c r="DF774" s="60"/>
      <c r="DG774" s="60"/>
      <c r="DH774" s="60"/>
      <c r="DI774" s="60"/>
      <c r="DJ774" s="60"/>
    </row>
    <row r="775">
      <c r="DE775" s="60"/>
      <c r="DF775" s="60"/>
      <c r="DG775" s="60"/>
      <c r="DH775" s="60"/>
      <c r="DI775" s="60"/>
      <c r="DJ775" s="60"/>
    </row>
    <row r="776">
      <c r="DE776" s="60"/>
      <c r="DF776" s="60"/>
      <c r="DG776" s="60"/>
      <c r="DH776" s="60"/>
      <c r="DI776" s="60"/>
      <c r="DJ776" s="60"/>
    </row>
    <row r="777">
      <c r="DE777" s="60"/>
      <c r="DF777" s="60"/>
      <c r="DG777" s="60"/>
      <c r="DH777" s="60"/>
      <c r="DI777" s="60"/>
      <c r="DJ777" s="60"/>
    </row>
    <row r="778">
      <c r="DE778" s="60"/>
      <c r="DF778" s="60"/>
      <c r="DG778" s="60"/>
      <c r="DH778" s="60"/>
      <c r="DI778" s="60"/>
      <c r="DJ778" s="60"/>
    </row>
    <row r="779">
      <c r="DE779" s="60"/>
      <c r="DF779" s="60"/>
      <c r="DG779" s="60"/>
      <c r="DH779" s="60"/>
      <c r="DI779" s="60"/>
      <c r="DJ779" s="60"/>
    </row>
    <row r="780">
      <c r="DE780" s="60"/>
      <c r="DF780" s="60"/>
      <c r="DG780" s="60"/>
      <c r="DH780" s="60"/>
      <c r="DI780" s="60"/>
      <c r="DJ780" s="60"/>
    </row>
    <row r="781">
      <c r="DE781" s="60"/>
      <c r="DF781" s="60"/>
      <c r="DG781" s="60"/>
      <c r="DH781" s="60"/>
      <c r="DI781" s="60"/>
      <c r="DJ781" s="60"/>
    </row>
    <row r="782">
      <c r="DE782" s="60"/>
      <c r="DF782" s="60"/>
      <c r="DG782" s="60"/>
      <c r="DH782" s="60"/>
      <c r="DI782" s="60"/>
      <c r="DJ782" s="60"/>
    </row>
    <row r="783">
      <c r="DE783" s="60"/>
      <c r="DF783" s="60"/>
      <c r="DG783" s="60"/>
      <c r="DH783" s="60"/>
      <c r="DI783" s="60"/>
      <c r="DJ783" s="60"/>
    </row>
    <row r="784">
      <c r="DE784" s="60"/>
      <c r="DF784" s="60"/>
      <c r="DG784" s="60"/>
      <c r="DH784" s="60"/>
      <c r="DI784" s="60"/>
      <c r="DJ784" s="60"/>
    </row>
    <row r="785">
      <c r="DE785" s="60"/>
      <c r="DF785" s="60"/>
      <c r="DG785" s="60"/>
      <c r="DH785" s="60"/>
      <c r="DI785" s="60"/>
      <c r="DJ785" s="60"/>
    </row>
    <row r="786">
      <c r="DE786" s="60"/>
      <c r="DF786" s="60"/>
      <c r="DG786" s="60"/>
      <c r="DH786" s="60"/>
      <c r="DI786" s="60"/>
      <c r="DJ786" s="60"/>
    </row>
    <row r="787">
      <c r="DE787" s="60"/>
      <c r="DF787" s="60"/>
      <c r="DG787" s="60"/>
      <c r="DH787" s="60"/>
      <c r="DI787" s="60"/>
      <c r="DJ787" s="60"/>
    </row>
    <row r="788">
      <c r="DE788" s="60"/>
      <c r="DF788" s="60"/>
      <c r="DG788" s="60"/>
      <c r="DH788" s="60"/>
      <c r="DI788" s="60"/>
      <c r="DJ788" s="60"/>
    </row>
    <row r="789">
      <c r="DE789" s="60"/>
      <c r="DF789" s="60"/>
      <c r="DG789" s="60"/>
      <c r="DH789" s="60"/>
      <c r="DI789" s="60"/>
      <c r="DJ789" s="60"/>
    </row>
    <row r="790">
      <c r="DE790" s="60"/>
      <c r="DF790" s="60"/>
      <c r="DG790" s="60"/>
      <c r="DH790" s="60"/>
      <c r="DI790" s="60"/>
      <c r="DJ790" s="60"/>
    </row>
    <row r="791">
      <c r="DE791" s="60"/>
      <c r="DF791" s="60"/>
      <c r="DG791" s="60"/>
      <c r="DH791" s="60"/>
      <c r="DI791" s="60"/>
      <c r="DJ791" s="60"/>
    </row>
    <row r="792">
      <c r="DE792" s="60"/>
      <c r="DF792" s="60"/>
      <c r="DG792" s="60"/>
      <c r="DH792" s="60"/>
      <c r="DI792" s="60"/>
      <c r="DJ792" s="60"/>
    </row>
    <row r="793">
      <c r="DE793" s="60"/>
      <c r="DF793" s="60"/>
      <c r="DG793" s="60"/>
      <c r="DH793" s="60"/>
      <c r="DI793" s="60"/>
      <c r="DJ793" s="60"/>
    </row>
    <row r="794">
      <c r="DE794" s="60"/>
      <c r="DF794" s="60"/>
      <c r="DG794" s="60"/>
      <c r="DH794" s="60"/>
      <c r="DI794" s="60"/>
      <c r="DJ794" s="60"/>
    </row>
    <row r="795">
      <c r="DE795" s="60"/>
      <c r="DF795" s="60"/>
      <c r="DG795" s="60"/>
      <c r="DH795" s="60"/>
      <c r="DI795" s="60"/>
      <c r="DJ795" s="60"/>
    </row>
    <row r="796">
      <c r="DE796" s="60"/>
      <c r="DF796" s="60"/>
      <c r="DG796" s="60"/>
      <c r="DH796" s="60"/>
      <c r="DI796" s="60"/>
      <c r="DJ796" s="60"/>
    </row>
    <row r="797">
      <c r="DE797" s="60"/>
      <c r="DF797" s="60"/>
      <c r="DG797" s="60"/>
      <c r="DH797" s="60"/>
      <c r="DI797" s="60"/>
      <c r="DJ797" s="60"/>
    </row>
    <row r="798">
      <c r="DE798" s="60"/>
      <c r="DF798" s="60"/>
      <c r="DG798" s="60"/>
      <c r="DH798" s="60"/>
      <c r="DI798" s="60"/>
      <c r="DJ798" s="60"/>
    </row>
    <row r="799">
      <c r="DE799" s="60"/>
      <c r="DF799" s="60"/>
      <c r="DG799" s="60"/>
      <c r="DH799" s="60"/>
      <c r="DI799" s="60"/>
      <c r="DJ799" s="60"/>
    </row>
    <row r="800">
      <c r="DE800" s="60"/>
      <c r="DF800" s="60"/>
      <c r="DG800" s="60"/>
      <c r="DH800" s="60"/>
      <c r="DI800" s="60"/>
      <c r="DJ800" s="60"/>
    </row>
    <row r="801">
      <c r="DE801" s="60"/>
      <c r="DF801" s="60"/>
      <c r="DG801" s="60"/>
      <c r="DH801" s="60"/>
      <c r="DI801" s="60"/>
      <c r="DJ801" s="60"/>
    </row>
    <row r="802">
      <c r="DE802" s="60"/>
      <c r="DF802" s="60"/>
      <c r="DG802" s="60"/>
      <c r="DH802" s="60"/>
      <c r="DI802" s="60"/>
      <c r="DJ802" s="60"/>
    </row>
    <row r="803">
      <c r="DE803" s="60"/>
      <c r="DF803" s="60"/>
      <c r="DG803" s="60"/>
      <c r="DH803" s="60"/>
      <c r="DI803" s="60"/>
      <c r="DJ803" s="60"/>
    </row>
    <row r="804">
      <c r="DE804" s="60"/>
      <c r="DF804" s="60"/>
      <c r="DG804" s="60"/>
      <c r="DH804" s="60"/>
      <c r="DI804" s="60"/>
      <c r="DJ804" s="60"/>
    </row>
    <row r="805">
      <c r="DE805" s="60"/>
      <c r="DF805" s="60"/>
      <c r="DG805" s="60"/>
      <c r="DH805" s="60"/>
      <c r="DI805" s="60"/>
      <c r="DJ805" s="60"/>
    </row>
    <row r="806">
      <c r="DE806" s="60"/>
      <c r="DF806" s="60"/>
      <c r="DG806" s="60"/>
      <c r="DH806" s="60"/>
      <c r="DI806" s="60"/>
      <c r="DJ806" s="60"/>
    </row>
    <row r="807">
      <c r="DE807" s="60"/>
      <c r="DF807" s="60"/>
      <c r="DG807" s="60"/>
      <c r="DH807" s="60"/>
      <c r="DI807" s="60"/>
      <c r="DJ807" s="60"/>
    </row>
    <row r="808">
      <c r="DE808" s="60"/>
      <c r="DF808" s="60"/>
      <c r="DG808" s="60"/>
      <c r="DH808" s="60"/>
      <c r="DI808" s="60"/>
      <c r="DJ808" s="60"/>
    </row>
    <row r="809">
      <c r="DE809" s="60"/>
      <c r="DF809" s="60"/>
      <c r="DG809" s="60"/>
      <c r="DH809" s="60"/>
      <c r="DI809" s="60"/>
      <c r="DJ809" s="60"/>
    </row>
    <row r="810">
      <c r="DE810" s="60"/>
      <c r="DF810" s="60"/>
      <c r="DG810" s="60"/>
      <c r="DH810" s="60"/>
      <c r="DI810" s="60"/>
      <c r="DJ810" s="60"/>
    </row>
    <row r="811">
      <c r="DE811" s="60"/>
      <c r="DF811" s="60"/>
      <c r="DG811" s="60"/>
      <c r="DH811" s="60"/>
      <c r="DI811" s="60"/>
      <c r="DJ811" s="60"/>
    </row>
    <row r="812">
      <c r="DE812" s="60"/>
      <c r="DF812" s="60"/>
      <c r="DG812" s="60"/>
      <c r="DH812" s="60"/>
      <c r="DI812" s="60"/>
      <c r="DJ812" s="60"/>
    </row>
    <row r="813">
      <c r="DE813" s="60"/>
      <c r="DF813" s="60"/>
      <c r="DG813" s="60"/>
      <c r="DH813" s="60"/>
      <c r="DI813" s="60"/>
      <c r="DJ813" s="60"/>
    </row>
    <row r="814">
      <c r="DE814" s="60"/>
      <c r="DF814" s="60"/>
      <c r="DG814" s="60"/>
      <c r="DH814" s="60"/>
      <c r="DI814" s="60"/>
      <c r="DJ814" s="60"/>
    </row>
    <row r="815">
      <c r="DE815" s="60"/>
      <c r="DF815" s="60"/>
      <c r="DG815" s="60"/>
      <c r="DH815" s="60"/>
      <c r="DI815" s="60"/>
      <c r="DJ815" s="60"/>
    </row>
    <row r="816">
      <c r="DE816" s="60"/>
      <c r="DF816" s="60"/>
      <c r="DG816" s="60"/>
      <c r="DH816" s="60"/>
      <c r="DI816" s="60"/>
      <c r="DJ816" s="60"/>
    </row>
    <row r="817">
      <c r="DE817" s="60"/>
      <c r="DF817" s="60"/>
      <c r="DG817" s="60"/>
      <c r="DH817" s="60"/>
      <c r="DI817" s="60"/>
      <c r="DJ817" s="60"/>
    </row>
    <row r="818">
      <c r="DE818" s="60"/>
      <c r="DF818" s="60"/>
      <c r="DG818" s="60"/>
      <c r="DH818" s="60"/>
      <c r="DI818" s="60"/>
      <c r="DJ818" s="60"/>
    </row>
    <row r="819">
      <c r="DE819" s="60"/>
      <c r="DF819" s="60"/>
      <c r="DG819" s="60"/>
      <c r="DH819" s="60"/>
      <c r="DI819" s="60"/>
      <c r="DJ819" s="60"/>
    </row>
    <row r="820">
      <c r="DE820" s="60"/>
      <c r="DF820" s="60"/>
      <c r="DG820" s="60"/>
      <c r="DH820" s="60"/>
      <c r="DI820" s="60"/>
      <c r="DJ820" s="60"/>
    </row>
    <row r="821">
      <c r="DE821" s="60"/>
      <c r="DF821" s="60"/>
      <c r="DG821" s="60"/>
      <c r="DH821" s="60"/>
      <c r="DI821" s="60"/>
      <c r="DJ821" s="60"/>
    </row>
    <row r="822">
      <c r="DE822" s="60"/>
      <c r="DF822" s="60"/>
      <c r="DG822" s="60"/>
      <c r="DH822" s="60"/>
      <c r="DI822" s="60"/>
      <c r="DJ822" s="60"/>
    </row>
    <row r="823">
      <c r="DE823" s="60"/>
      <c r="DF823" s="60"/>
      <c r="DG823" s="60"/>
      <c r="DH823" s="60"/>
      <c r="DI823" s="60"/>
      <c r="DJ823" s="60"/>
    </row>
    <row r="824">
      <c r="DE824" s="60"/>
      <c r="DF824" s="60"/>
      <c r="DG824" s="60"/>
      <c r="DH824" s="60"/>
      <c r="DI824" s="60"/>
      <c r="DJ824" s="60"/>
    </row>
    <row r="825">
      <c r="DE825" s="60"/>
      <c r="DF825" s="60"/>
      <c r="DG825" s="60"/>
      <c r="DH825" s="60"/>
      <c r="DI825" s="60"/>
      <c r="DJ825" s="60"/>
    </row>
    <row r="826">
      <c r="DE826" s="60"/>
      <c r="DF826" s="60"/>
      <c r="DG826" s="60"/>
      <c r="DH826" s="60"/>
      <c r="DI826" s="60"/>
      <c r="DJ826" s="60"/>
    </row>
    <row r="827">
      <c r="DE827" s="60"/>
      <c r="DF827" s="60"/>
      <c r="DG827" s="60"/>
      <c r="DH827" s="60"/>
      <c r="DI827" s="60"/>
      <c r="DJ827" s="60"/>
    </row>
    <row r="828">
      <c r="DE828" s="60"/>
      <c r="DF828" s="60"/>
      <c r="DG828" s="60"/>
      <c r="DH828" s="60"/>
      <c r="DI828" s="60"/>
      <c r="DJ828" s="60"/>
    </row>
    <row r="829">
      <c r="DE829" s="60"/>
      <c r="DF829" s="60"/>
      <c r="DG829" s="60"/>
      <c r="DH829" s="60"/>
      <c r="DI829" s="60"/>
      <c r="DJ829" s="60"/>
    </row>
    <row r="830">
      <c r="DE830" s="60"/>
      <c r="DF830" s="60"/>
      <c r="DG830" s="60"/>
      <c r="DH830" s="60"/>
      <c r="DI830" s="60"/>
      <c r="DJ830" s="60"/>
    </row>
    <row r="831">
      <c r="DE831" s="60"/>
      <c r="DF831" s="60"/>
      <c r="DG831" s="60"/>
      <c r="DH831" s="60"/>
      <c r="DI831" s="60"/>
      <c r="DJ831" s="60"/>
    </row>
    <row r="832">
      <c r="DE832" s="60"/>
      <c r="DF832" s="60"/>
      <c r="DG832" s="60"/>
      <c r="DH832" s="60"/>
      <c r="DI832" s="60"/>
      <c r="DJ832" s="60"/>
    </row>
    <row r="833">
      <c r="DE833" s="60"/>
      <c r="DF833" s="60"/>
      <c r="DG833" s="60"/>
      <c r="DH833" s="60"/>
      <c r="DI833" s="60"/>
      <c r="DJ833" s="60"/>
    </row>
    <row r="834">
      <c r="DE834" s="60"/>
      <c r="DF834" s="60"/>
      <c r="DG834" s="60"/>
      <c r="DH834" s="60"/>
      <c r="DI834" s="60"/>
      <c r="DJ834" s="60"/>
    </row>
    <row r="835">
      <c r="DE835" s="60"/>
      <c r="DF835" s="60"/>
      <c r="DG835" s="60"/>
      <c r="DH835" s="60"/>
      <c r="DI835" s="60"/>
      <c r="DJ835" s="60"/>
    </row>
    <row r="836">
      <c r="DE836" s="60"/>
      <c r="DF836" s="60"/>
      <c r="DG836" s="60"/>
      <c r="DH836" s="60"/>
      <c r="DI836" s="60"/>
      <c r="DJ836" s="60"/>
    </row>
    <row r="837">
      <c r="DE837" s="60"/>
      <c r="DF837" s="60"/>
      <c r="DG837" s="60"/>
      <c r="DH837" s="60"/>
      <c r="DI837" s="60"/>
      <c r="DJ837" s="60"/>
    </row>
    <row r="838">
      <c r="DE838" s="60"/>
      <c r="DF838" s="60"/>
      <c r="DG838" s="60"/>
      <c r="DH838" s="60"/>
      <c r="DI838" s="60"/>
      <c r="DJ838" s="60"/>
    </row>
    <row r="839">
      <c r="DE839" s="60"/>
      <c r="DF839" s="60"/>
      <c r="DG839" s="60"/>
      <c r="DH839" s="60"/>
      <c r="DI839" s="60"/>
      <c r="DJ839" s="60"/>
    </row>
    <row r="840">
      <c r="DE840" s="60"/>
      <c r="DF840" s="60"/>
      <c r="DG840" s="60"/>
      <c r="DH840" s="60"/>
      <c r="DI840" s="60"/>
      <c r="DJ840" s="60"/>
    </row>
    <row r="841">
      <c r="DE841" s="60"/>
      <c r="DF841" s="60"/>
      <c r="DG841" s="60"/>
      <c r="DH841" s="60"/>
      <c r="DI841" s="60"/>
      <c r="DJ841" s="60"/>
    </row>
    <row r="842">
      <c r="DE842" s="60"/>
      <c r="DF842" s="60"/>
      <c r="DG842" s="60"/>
      <c r="DH842" s="60"/>
      <c r="DI842" s="60"/>
      <c r="DJ842" s="60"/>
    </row>
    <row r="843">
      <c r="DE843" s="60"/>
      <c r="DF843" s="60"/>
      <c r="DG843" s="60"/>
      <c r="DH843" s="60"/>
      <c r="DI843" s="60"/>
      <c r="DJ843" s="60"/>
    </row>
    <row r="844">
      <c r="DE844" s="60"/>
      <c r="DF844" s="60"/>
      <c r="DG844" s="60"/>
      <c r="DH844" s="60"/>
      <c r="DI844" s="60"/>
      <c r="DJ844" s="60"/>
    </row>
    <row r="845">
      <c r="DE845" s="60"/>
      <c r="DF845" s="60"/>
      <c r="DG845" s="60"/>
      <c r="DH845" s="60"/>
      <c r="DI845" s="60"/>
      <c r="DJ845" s="60"/>
    </row>
    <row r="846">
      <c r="DE846" s="60"/>
      <c r="DF846" s="60"/>
      <c r="DG846" s="60"/>
      <c r="DH846" s="60"/>
      <c r="DI846" s="60"/>
      <c r="DJ846" s="60"/>
    </row>
    <row r="847">
      <c r="DE847" s="60"/>
      <c r="DF847" s="60"/>
      <c r="DG847" s="60"/>
      <c r="DH847" s="60"/>
      <c r="DI847" s="60"/>
      <c r="DJ847" s="60"/>
    </row>
    <row r="848">
      <c r="DE848" s="60"/>
      <c r="DF848" s="60"/>
      <c r="DG848" s="60"/>
      <c r="DH848" s="60"/>
      <c r="DI848" s="60"/>
      <c r="DJ848" s="60"/>
    </row>
    <row r="849">
      <c r="DE849" s="60"/>
      <c r="DF849" s="60"/>
      <c r="DG849" s="60"/>
      <c r="DH849" s="60"/>
      <c r="DI849" s="60"/>
      <c r="DJ849" s="60"/>
    </row>
    <row r="850">
      <c r="DE850" s="60"/>
      <c r="DF850" s="60"/>
      <c r="DG850" s="60"/>
      <c r="DH850" s="60"/>
      <c r="DI850" s="60"/>
      <c r="DJ850" s="60"/>
    </row>
    <row r="851">
      <c r="DE851" s="60"/>
      <c r="DF851" s="60"/>
      <c r="DG851" s="60"/>
      <c r="DH851" s="60"/>
      <c r="DI851" s="60"/>
      <c r="DJ851" s="60"/>
    </row>
    <row r="852">
      <c r="DE852" s="60"/>
      <c r="DF852" s="60"/>
      <c r="DG852" s="60"/>
      <c r="DH852" s="60"/>
      <c r="DI852" s="60"/>
      <c r="DJ852" s="60"/>
    </row>
    <row r="853">
      <c r="DE853" s="60"/>
      <c r="DF853" s="60"/>
      <c r="DG853" s="60"/>
      <c r="DH853" s="60"/>
      <c r="DI853" s="60"/>
      <c r="DJ853" s="60"/>
    </row>
    <row r="854">
      <c r="DE854" s="60"/>
      <c r="DF854" s="60"/>
      <c r="DG854" s="60"/>
      <c r="DH854" s="60"/>
      <c r="DI854" s="60"/>
      <c r="DJ854" s="60"/>
    </row>
    <row r="855">
      <c r="DE855" s="60"/>
      <c r="DF855" s="60"/>
      <c r="DG855" s="60"/>
      <c r="DH855" s="60"/>
      <c r="DI855" s="60"/>
      <c r="DJ855" s="60"/>
    </row>
    <row r="856">
      <c r="DE856" s="60"/>
      <c r="DF856" s="60"/>
      <c r="DG856" s="60"/>
      <c r="DH856" s="60"/>
      <c r="DI856" s="60"/>
      <c r="DJ856" s="60"/>
    </row>
    <row r="857">
      <c r="DE857" s="60"/>
      <c r="DF857" s="60"/>
      <c r="DG857" s="60"/>
      <c r="DH857" s="60"/>
      <c r="DI857" s="60"/>
      <c r="DJ857" s="60"/>
    </row>
    <row r="858">
      <c r="DE858" s="60"/>
      <c r="DF858" s="60"/>
      <c r="DG858" s="60"/>
      <c r="DH858" s="60"/>
      <c r="DI858" s="60"/>
      <c r="DJ858" s="60"/>
    </row>
    <row r="859">
      <c r="DE859" s="60"/>
      <c r="DF859" s="60"/>
      <c r="DG859" s="60"/>
      <c r="DH859" s="60"/>
      <c r="DI859" s="60"/>
      <c r="DJ859" s="60"/>
    </row>
    <row r="860">
      <c r="DE860" s="60"/>
      <c r="DF860" s="60"/>
      <c r="DG860" s="60"/>
      <c r="DH860" s="60"/>
      <c r="DI860" s="60"/>
      <c r="DJ860" s="60"/>
    </row>
    <row r="861">
      <c r="DE861" s="60"/>
      <c r="DF861" s="60"/>
      <c r="DG861" s="60"/>
      <c r="DH861" s="60"/>
      <c r="DI861" s="60"/>
      <c r="DJ861" s="60"/>
    </row>
    <row r="862">
      <c r="DE862" s="60"/>
      <c r="DF862" s="60"/>
      <c r="DG862" s="60"/>
      <c r="DH862" s="60"/>
      <c r="DI862" s="60"/>
      <c r="DJ862" s="60"/>
    </row>
    <row r="863">
      <c r="DE863" s="60"/>
      <c r="DF863" s="60"/>
      <c r="DG863" s="60"/>
      <c r="DH863" s="60"/>
      <c r="DI863" s="60"/>
      <c r="DJ863" s="60"/>
    </row>
    <row r="864">
      <c r="DE864" s="60"/>
      <c r="DF864" s="60"/>
      <c r="DG864" s="60"/>
      <c r="DH864" s="60"/>
      <c r="DI864" s="60"/>
      <c r="DJ864" s="60"/>
    </row>
    <row r="865">
      <c r="DE865" s="60"/>
      <c r="DF865" s="60"/>
      <c r="DG865" s="60"/>
      <c r="DH865" s="60"/>
      <c r="DI865" s="60"/>
      <c r="DJ865" s="60"/>
    </row>
    <row r="866">
      <c r="DE866" s="60"/>
      <c r="DF866" s="60"/>
      <c r="DG866" s="60"/>
      <c r="DH866" s="60"/>
      <c r="DI866" s="60"/>
      <c r="DJ866" s="60"/>
    </row>
    <row r="867">
      <c r="DE867" s="60"/>
      <c r="DF867" s="60"/>
      <c r="DG867" s="60"/>
      <c r="DH867" s="60"/>
      <c r="DI867" s="60"/>
      <c r="DJ867" s="60"/>
    </row>
    <row r="868">
      <c r="DE868" s="60"/>
      <c r="DF868" s="60"/>
      <c r="DG868" s="60"/>
      <c r="DH868" s="60"/>
      <c r="DI868" s="60"/>
      <c r="DJ868" s="60"/>
    </row>
    <row r="869">
      <c r="DE869" s="60"/>
      <c r="DF869" s="60"/>
      <c r="DG869" s="60"/>
      <c r="DH869" s="60"/>
      <c r="DI869" s="60"/>
      <c r="DJ869" s="60"/>
    </row>
    <row r="870">
      <c r="DE870" s="60"/>
      <c r="DF870" s="60"/>
      <c r="DG870" s="60"/>
      <c r="DH870" s="60"/>
      <c r="DI870" s="60"/>
      <c r="DJ870" s="60"/>
    </row>
    <row r="871">
      <c r="DE871" s="60"/>
      <c r="DF871" s="60"/>
      <c r="DG871" s="60"/>
      <c r="DH871" s="60"/>
      <c r="DI871" s="60"/>
      <c r="DJ871" s="60"/>
    </row>
    <row r="872">
      <c r="DE872" s="60"/>
      <c r="DF872" s="60"/>
      <c r="DG872" s="60"/>
      <c r="DH872" s="60"/>
      <c r="DI872" s="60"/>
      <c r="DJ872" s="60"/>
    </row>
    <row r="873">
      <c r="DE873" s="60"/>
      <c r="DF873" s="60"/>
      <c r="DG873" s="60"/>
      <c r="DH873" s="60"/>
      <c r="DI873" s="60"/>
      <c r="DJ873" s="60"/>
    </row>
    <row r="874">
      <c r="DE874" s="60"/>
      <c r="DF874" s="60"/>
      <c r="DG874" s="60"/>
      <c r="DH874" s="60"/>
      <c r="DI874" s="60"/>
      <c r="DJ874" s="60"/>
    </row>
    <row r="875">
      <c r="DE875" s="60"/>
      <c r="DF875" s="60"/>
      <c r="DG875" s="60"/>
      <c r="DH875" s="60"/>
      <c r="DI875" s="60"/>
      <c r="DJ875" s="60"/>
    </row>
    <row r="876">
      <c r="DE876" s="60"/>
      <c r="DF876" s="60"/>
      <c r="DG876" s="60"/>
      <c r="DH876" s="60"/>
      <c r="DI876" s="60"/>
      <c r="DJ876" s="60"/>
    </row>
    <row r="877">
      <c r="DE877" s="60"/>
      <c r="DF877" s="60"/>
      <c r="DG877" s="60"/>
      <c r="DH877" s="60"/>
      <c r="DI877" s="60"/>
      <c r="DJ877" s="60"/>
    </row>
    <row r="878">
      <c r="DE878" s="60"/>
      <c r="DF878" s="60"/>
      <c r="DG878" s="60"/>
      <c r="DH878" s="60"/>
      <c r="DI878" s="60"/>
      <c r="DJ878" s="60"/>
    </row>
    <row r="879">
      <c r="DE879" s="60"/>
      <c r="DF879" s="60"/>
      <c r="DG879" s="60"/>
      <c r="DH879" s="60"/>
      <c r="DI879" s="60"/>
      <c r="DJ879" s="60"/>
    </row>
    <row r="880">
      <c r="DE880" s="60"/>
      <c r="DF880" s="60"/>
      <c r="DG880" s="60"/>
      <c r="DH880" s="60"/>
      <c r="DI880" s="60"/>
      <c r="DJ880" s="60"/>
    </row>
    <row r="881">
      <c r="DE881" s="60"/>
      <c r="DF881" s="60"/>
      <c r="DG881" s="60"/>
      <c r="DH881" s="60"/>
      <c r="DI881" s="60"/>
      <c r="DJ881" s="60"/>
    </row>
    <row r="882">
      <c r="DE882" s="60"/>
      <c r="DF882" s="60"/>
      <c r="DG882" s="60"/>
      <c r="DH882" s="60"/>
      <c r="DI882" s="60"/>
      <c r="DJ882" s="60"/>
    </row>
    <row r="883">
      <c r="DE883" s="60"/>
      <c r="DF883" s="60"/>
      <c r="DG883" s="60"/>
      <c r="DH883" s="60"/>
      <c r="DI883" s="60"/>
      <c r="DJ883" s="60"/>
    </row>
    <row r="884">
      <c r="DE884" s="60"/>
      <c r="DF884" s="60"/>
      <c r="DG884" s="60"/>
      <c r="DH884" s="60"/>
      <c r="DI884" s="60"/>
      <c r="DJ884" s="60"/>
    </row>
    <row r="885">
      <c r="DE885" s="60"/>
      <c r="DF885" s="60"/>
      <c r="DG885" s="60"/>
      <c r="DH885" s="60"/>
      <c r="DI885" s="60"/>
      <c r="DJ885" s="60"/>
    </row>
    <row r="886">
      <c r="DE886" s="60"/>
      <c r="DF886" s="60"/>
      <c r="DG886" s="60"/>
      <c r="DH886" s="60"/>
      <c r="DI886" s="60"/>
      <c r="DJ886" s="60"/>
    </row>
    <row r="887">
      <c r="DE887" s="60"/>
      <c r="DF887" s="60"/>
      <c r="DG887" s="60"/>
      <c r="DH887" s="60"/>
      <c r="DI887" s="60"/>
      <c r="DJ887" s="60"/>
    </row>
    <row r="888">
      <c r="DE888" s="60"/>
      <c r="DF888" s="60"/>
      <c r="DG888" s="60"/>
      <c r="DH888" s="60"/>
      <c r="DI888" s="60"/>
      <c r="DJ888" s="60"/>
    </row>
    <row r="889">
      <c r="DE889" s="60"/>
      <c r="DF889" s="60"/>
      <c r="DG889" s="60"/>
      <c r="DH889" s="60"/>
      <c r="DI889" s="60"/>
      <c r="DJ889" s="60"/>
    </row>
    <row r="890">
      <c r="DE890" s="60"/>
      <c r="DF890" s="60"/>
      <c r="DG890" s="60"/>
      <c r="DH890" s="60"/>
      <c r="DI890" s="60"/>
      <c r="DJ890" s="60"/>
    </row>
    <row r="891">
      <c r="DE891" s="60"/>
      <c r="DF891" s="60"/>
      <c r="DG891" s="60"/>
      <c r="DH891" s="60"/>
      <c r="DI891" s="60"/>
      <c r="DJ891" s="60"/>
    </row>
    <row r="892">
      <c r="DE892" s="60"/>
      <c r="DF892" s="60"/>
      <c r="DG892" s="60"/>
      <c r="DH892" s="60"/>
      <c r="DI892" s="60"/>
      <c r="DJ892" s="60"/>
    </row>
    <row r="893">
      <c r="DE893" s="60"/>
      <c r="DF893" s="60"/>
      <c r="DG893" s="60"/>
      <c r="DH893" s="60"/>
      <c r="DI893" s="60"/>
      <c r="DJ893" s="60"/>
    </row>
    <row r="894">
      <c r="DE894" s="60"/>
      <c r="DF894" s="60"/>
      <c r="DG894" s="60"/>
      <c r="DH894" s="60"/>
      <c r="DI894" s="60"/>
      <c r="DJ894" s="60"/>
    </row>
    <row r="895">
      <c r="DE895" s="60"/>
      <c r="DF895" s="60"/>
      <c r="DG895" s="60"/>
      <c r="DH895" s="60"/>
      <c r="DI895" s="60"/>
      <c r="DJ895" s="60"/>
    </row>
    <row r="896">
      <c r="DE896" s="60"/>
      <c r="DF896" s="60"/>
      <c r="DG896" s="60"/>
      <c r="DH896" s="60"/>
      <c r="DI896" s="60"/>
      <c r="DJ896" s="60"/>
    </row>
    <row r="897">
      <c r="DE897" s="60"/>
      <c r="DF897" s="60"/>
      <c r="DG897" s="60"/>
      <c r="DH897" s="60"/>
      <c r="DI897" s="60"/>
      <c r="DJ897" s="60"/>
    </row>
    <row r="898">
      <c r="DE898" s="60"/>
      <c r="DF898" s="60"/>
      <c r="DG898" s="60"/>
      <c r="DH898" s="60"/>
      <c r="DI898" s="60"/>
      <c r="DJ898" s="60"/>
    </row>
    <row r="899">
      <c r="DE899" s="60"/>
      <c r="DF899" s="60"/>
      <c r="DG899" s="60"/>
      <c r="DH899" s="60"/>
      <c r="DI899" s="60"/>
      <c r="DJ899" s="60"/>
    </row>
    <row r="900">
      <c r="DE900" s="60"/>
      <c r="DF900" s="60"/>
      <c r="DG900" s="60"/>
      <c r="DH900" s="60"/>
      <c r="DI900" s="60"/>
      <c r="DJ900" s="60"/>
    </row>
    <row r="901">
      <c r="DE901" s="60"/>
      <c r="DF901" s="60"/>
      <c r="DG901" s="60"/>
      <c r="DH901" s="60"/>
      <c r="DI901" s="60"/>
      <c r="DJ901" s="60"/>
    </row>
    <row r="902">
      <c r="DE902" s="60"/>
      <c r="DF902" s="60"/>
      <c r="DG902" s="60"/>
      <c r="DH902" s="60"/>
      <c r="DI902" s="60"/>
      <c r="DJ902" s="60"/>
    </row>
    <row r="903">
      <c r="DE903" s="60"/>
      <c r="DF903" s="60"/>
      <c r="DG903" s="60"/>
      <c r="DH903" s="60"/>
      <c r="DI903" s="60"/>
      <c r="DJ903" s="60"/>
    </row>
    <row r="904">
      <c r="DE904" s="60"/>
      <c r="DF904" s="60"/>
      <c r="DG904" s="60"/>
      <c r="DH904" s="60"/>
      <c r="DI904" s="60"/>
      <c r="DJ904" s="60"/>
    </row>
    <row r="905">
      <c r="DE905" s="60"/>
      <c r="DF905" s="60"/>
      <c r="DG905" s="60"/>
      <c r="DH905" s="60"/>
      <c r="DI905" s="60"/>
      <c r="DJ905" s="60"/>
    </row>
    <row r="906">
      <c r="DE906" s="60"/>
      <c r="DF906" s="60"/>
      <c r="DG906" s="60"/>
      <c r="DH906" s="60"/>
      <c r="DI906" s="60"/>
      <c r="DJ906" s="60"/>
    </row>
    <row r="907">
      <c r="DE907" s="60"/>
      <c r="DF907" s="60"/>
      <c r="DG907" s="60"/>
      <c r="DH907" s="60"/>
      <c r="DI907" s="60"/>
      <c r="DJ907" s="60"/>
    </row>
    <row r="908">
      <c r="DE908" s="60"/>
      <c r="DF908" s="60"/>
      <c r="DG908" s="60"/>
      <c r="DH908" s="60"/>
      <c r="DI908" s="60"/>
      <c r="DJ908" s="60"/>
    </row>
    <row r="909">
      <c r="DE909" s="60"/>
      <c r="DF909" s="60"/>
      <c r="DG909" s="60"/>
      <c r="DH909" s="60"/>
      <c r="DI909" s="60"/>
      <c r="DJ909" s="60"/>
    </row>
    <row r="910">
      <c r="DE910" s="60"/>
      <c r="DF910" s="60"/>
      <c r="DG910" s="60"/>
      <c r="DH910" s="60"/>
      <c r="DI910" s="60"/>
      <c r="DJ910" s="60"/>
    </row>
    <row r="911">
      <c r="DE911" s="60"/>
      <c r="DF911" s="60"/>
      <c r="DG911" s="60"/>
      <c r="DH911" s="60"/>
      <c r="DI911" s="60"/>
      <c r="DJ911" s="60"/>
    </row>
    <row r="912">
      <c r="DE912" s="60"/>
      <c r="DF912" s="60"/>
      <c r="DG912" s="60"/>
      <c r="DH912" s="60"/>
      <c r="DI912" s="60"/>
      <c r="DJ912" s="60"/>
    </row>
    <row r="913">
      <c r="DE913" s="60"/>
      <c r="DF913" s="60"/>
      <c r="DG913" s="60"/>
      <c r="DH913" s="60"/>
      <c r="DI913" s="60"/>
      <c r="DJ913" s="60"/>
    </row>
    <row r="914">
      <c r="DE914" s="60"/>
      <c r="DF914" s="60"/>
      <c r="DG914" s="60"/>
      <c r="DH914" s="60"/>
      <c r="DI914" s="60"/>
      <c r="DJ914" s="60"/>
    </row>
    <row r="915">
      <c r="DE915" s="60"/>
      <c r="DF915" s="60"/>
      <c r="DG915" s="60"/>
      <c r="DH915" s="60"/>
      <c r="DI915" s="60"/>
      <c r="DJ915" s="60"/>
    </row>
    <row r="916">
      <c r="DE916" s="60"/>
      <c r="DF916" s="60"/>
      <c r="DG916" s="60"/>
      <c r="DH916" s="60"/>
      <c r="DI916" s="60"/>
      <c r="DJ916" s="60"/>
    </row>
    <row r="917">
      <c r="DE917" s="60"/>
      <c r="DF917" s="60"/>
      <c r="DG917" s="60"/>
      <c r="DH917" s="60"/>
      <c r="DI917" s="60"/>
      <c r="DJ917" s="60"/>
    </row>
    <row r="918">
      <c r="DE918" s="60"/>
      <c r="DF918" s="60"/>
      <c r="DG918" s="60"/>
      <c r="DH918" s="60"/>
      <c r="DI918" s="60"/>
      <c r="DJ918" s="60"/>
    </row>
    <row r="919">
      <c r="DE919" s="60"/>
      <c r="DF919" s="60"/>
      <c r="DG919" s="60"/>
      <c r="DH919" s="60"/>
      <c r="DI919" s="60"/>
      <c r="DJ919" s="60"/>
    </row>
    <row r="920">
      <c r="DE920" s="60"/>
      <c r="DF920" s="60"/>
      <c r="DG920" s="60"/>
      <c r="DH920" s="60"/>
      <c r="DI920" s="60"/>
      <c r="DJ920" s="60"/>
    </row>
    <row r="921">
      <c r="DE921" s="60"/>
      <c r="DF921" s="60"/>
      <c r="DG921" s="60"/>
      <c r="DH921" s="60"/>
      <c r="DI921" s="60"/>
      <c r="DJ921" s="60"/>
    </row>
    <row r="922">
      <c r="DE922" s="60"/>
      <c r="DF922" s="60"/>
      <c r="DG922" s="60"/>
      <c r="DH922" s="60"/>
      <c r="DI922" s="60"/>
      <c r="DJ922" s="60"/>
    </row>
    <row r="923">
      <c r="DE923" s="60"/>
      <c r="DF923" s="60"/>
      <c r="DG923" s="60"/>
      <c r="DH923" s="60"/>
      <c r="DI923" s="60"/>
      <c r="DJ923" s="60"/>
    </row>
    <row r="924">
      <c r="DE924" s="60"/>
      <c r="DF924" s="60"/>
      <c r="DG924" s="60"/>
      <c r="DH924" s="60"/>
      <c r="DI924" s="60"/>
      <c r="DJ924" s="60"/>
    </row>
    <row r="925">
      <c r="DE925" s="60"/>
      <c r="DF925" s="60"/>
      <c r="DG925" s="60"/>
      <c r="DH925" s="60"/>
      <c r="DI925" s="60"/>
      <c r="DJ925" s="60"/>
    </row>
    <row r="926">
      <c r="DE926" s="60"/>
      <c r="DF926" s="60"/>
      <c r="DG926" s="60"/>
      <c r="DH926" s="60"/>
      <c r="DI926" s="60"/>
      <c r="DJ926" s="60"/>
    </row>
    <row r="927">
      <c r="DE927" s="60"/>
      <c r="DF927" s="60"/>
      <c r="DG927" s="60"/>
      <c r="DH927" s="60"/>
      <c r="DI927" s="60"/>
      <c r="DJ927" s="60"/>
    </row>
    <row r="928">
      <c r="DE928" s="60"/>
      <c r="DF928" s="60"/>
      <c r="DG928" s="60"/>
      <c r="DH928" s="60"/>
      <c r="DI928" s="60"/>
      <c r="DJ928" s="60"/>
    </row>
    <row r="929">
      <c r="DE929" s="60"/>
      <c r="DF929" s="60"/>
      <c r="DG929" s="60"/>
      <c r="DH929" s="60"/>
      <c r="DI929" s="60"/>
      <c r="DJ929" s="60"/>
    </row>
    <row r="930">
      <c r="DE930" s="60"/>
      <c r="DF930" s="60"/>
      <c r="DG930" s="60"/>
      <c r="DH930" s="60"/>
      <c r="DI930" s="60"/>
      <c r="DJ930" s="60"/>
    </row>
    <row r="931">
      <c r="DE931" s="60"/>
      <c r="DF931" s="60"/>
      <c r="DG931" s="60"/>
      <c r="DH931" s="60"/>
      <c r="DI931" s="60"/>
      <c r="DJ931" s="60"/>
    </row>
    <row r="932">
      <c r="DE932" s="60"/>
      <c r="DF932" s="60"/>
      <c r="DG932" s="60"/>
      <c r="DH932" s="60"/>
      <c r="DI932" s="60"/>
      <c r="DJ932" s="60"/>
    </row>
    <row r="933">
      <c r="DE933" s="60"/>
      <c r="DF933" s="60"/>
      <c r="DG933" s="60"/>
      <c r="DH933" s="60"/>
      <c r="DI933" s="60"/>
      <c r="DJ933" s="60"/>
    </row>
    <row r="934">
      <c r="DE934" s="60"/>
      <c r="DF934" s="60"/>
      <c r="DG934" s="60"/>
      <c r="DH934" s="60"/>
      <c r="DI934" s="60"/>
      <c r="DJ934" s="60"/>
    </row>
    <row r="935">
      <c r="DE935" s="60"/>
      <c r="DF935" s="60"/>
      <c r="DG935" s="60"/>
      <c r="DH935" s="60"/>
      <c r="DI935" s="60"/>
      <c r="DJ935" s="60"/>
    </row>
    <row r="936">
      <c r="DE936" s="60"/>
      <c r="DF936" s="60"/>
      <c r="DG936" s="60"/>
      <c r="DH936" s="60"/>
      <c r="DI936" s="60"/>
      <c r="DJ936" s="60"/>
    </row>
    <row r="937">
      <c r="DE937" s="60"/>
      <c r="DF937" s="60"/>
      <c r="DG937" s="60"/>
      <c r="DH937" s="60"/>
      <c r="DI937" s="60"/>
      <c r="DJ937" s="60"/>
    </row>
    <row r="938">
      <c r="DE938" s="60"/>
      <c r="DF938" s="60"/>
      <c r="DG938" s="60"/>
      <c r="DH938" s="60"/>
      <c r="DI938" s="60"/>
      <c r="DJ938" s="60"/>
    </row>
    <row r="939">
      <c r="DE939" s="60"/>
      <c r="DF939" s="60"/>
      <c r="DG939" s="60"/>
      <c r="DH939" s="60"/>
      <c r="DI939" s="60"/>
      <c r="DJ939" s="60"/>
    </row>
    <row r="940">
      <c r="DE940" s="60"/>
      <c r="DF940" s="60"/>
      <c r="DG940" s="60"/>
      <c r="DH940" s="60"/>
      <c r="DI940" s="60"/>
      <c r="DJ940" s="60"/>
    </row>
    <row r="941">
      <c r="DE941" s="60"/>
      <c r="DF941" s="60"/>
      <c r="DG941" s="60"/>
      <c r="DH941" s="60"/>
      <c r="DI941" s="60"/>
      <c r="DJ941" s="60"/>
    </row>
    <row r="942">
      <c r="DE942" s="60"/>
      <c r="DF942" s="60"/>
      <c r="DG942" s="60"/>
      <c r="DH942" s="60"/>
      <c r="DI942" s="60"/>
      <c r="DJ942" s="60"/>
    </row>
    <row r="943">
      <c r="DE943" s="60"/>
      <c r="DF943" s="60"/>
      <c r="DG943" s="60"/>
      <c r="DH943" s="60"/>
      <c r="DI943" s="60"/>
      <c r="DJ943" s="60"/>
    </row>
    <row r="944">
      <c r="DE944" s="60"/>
      <c r="DF944" s="60"/>
      <c r="DG944" s="60"/>
      <c r="DH944" s="60"/>
      <c r="DI944" s="60"/>
      <c r="DJ944" s="60"/>
    </row>
    <row r="945">
      <c r="DE945" s="60"/>
      <c r="DF945" s="60"/>
      <c r="DG945" s="60"/>
      <c r="DH945" s="60"/>
      <c r="DI945" s="60"/>
      <c r="DJ945" s="60"/>
    </row>
    <row r="946">
      <c r="DE946" s="60"/>
      <c r="DF946" s="60"/>
      <c r="DG946" s="60"/>
      <c r="DH946" s="60"/>
      <c r="DI946" s="60"/>
      <c r="DJ946" s="60"/>
    </row>
    <row r="947">
      <c r="DE947" s="60"/>
      <c r="DF947" s="60"/>
      <c r="DG947" s="60"/>
      <c r="DH947" s="60"/>
      <c r="DI947" s="60"/>
      <c r="DJ947" s="60"/>
    </row>
    <row r="948">
      <c r="DE948" s="60"/>
      <c r="DF948" s="60"/>
      <c r="DG948" s="60"/>
      <c r="DH948" s="60"/>
      <c r="DI948" s="60"/>
      <c r="DJ948" s="60"/>
    </row>
    <row r="949">
      <c r="DE949" s="60"/>
      <c r="DF949" s="60"/>
      <c r="DG949" s="60"/>
      <c r="DH949" s="60"/>
      <c r="DI949" s="60"/>
      <c r="DJ949" s="60"/>
    </row>
    <row r="950">
      <c r="DE950" s="60"/>
      <c r="DF950" s="60"/>
      <c r="DG950" s="60"/>
      <c r="DH950" s="60"/>
      <c r="DI950" s="60"/>
      <c r="DJ950" s="60"/>
    </row>
    <row r="951">
      <c r="DE951" s="60"/>
      <c r="DF951" s="60"/>
      <c r="DG951" s="60"/>
      <c r="DH951" s="60"/>
      <c r="DI951" s="60"/>
      <c r="DJ951" s="60"/>
    </row>
    <row r="952">
      <c r="DE952" s="60"/>
      <c r="DF952" s="60"/>
      <c r="DG952" s="60"/>
      <c r="DH952" s="60"/>
      <c r="DI952" s="60"/>
      <c r="DJ952" s="60"/>
    </row>
    <row r="953">
      <c r="DE953" s="60"/>
      <c r="DF953" s="60"/>
      <c r="DG953" s="60"/>
      <c r="DH953" s="60"/>
      <c r="DI953" s="60"/>
      <c r="DJ953" s="60"/>
    </row>
    <row r="954">
      <c r="DE954" s="60"/>
      <c r="DF954" s="60"/>
      <c r="DG954" s="60"/>
      <c r="DH954" s="60"/>
      <c r="DI954" s="60"/>
      <c r="DJ954" s="60"/>
    </row>
    <row r="955">
      <c r="DE955" s="60"/>
      <c r="DF955" s="60"/>
      <c r="DG955" s="60"/>
      <c r="DH955" s="60"/>
      <c r="DI955" s="60"/>
      <c r="DJ955" s="60"/>
    </row>
    <row r="956">
      <c r="DE956" s="60"/>
      <c r="DF956" s="60"/>
      <c r="DG956" s="60"/>
      <c r="DH956" s="60"/>
      <c r="DI956" s="60"/>
      <c r="DJ956" s="60"/>
    </row>
    <row r="957">
      <c r="DE957" s="60"/>
      <c r="DF957" s="60"/>
      <c r="DG957" s="60"/>
      <c r="DH957" s="60"/>
      <c r="DI957" s="60"/>
      <c r="DJ957" s="60"/>
    </row>
    <row r="958">
      <c r="DE958" s="60"/>
      <c r="DF958" s="60"/>
      <c r="DG958" s="60"/>
      <c r="DH958" s="60"/>
      <c r="DI958" s="60"/>
      <c r="DJ958" s="60"/>
    </row>
    <row r="959">
      <c r="DE959" s="60"/>
      <c r="DF959" s="60"/>
      <c r="DG959" s="60"/>
      <c r="DH959" s="60"/>
      <c r="DI959" s="60"/>
      <c r="DJ959" s="60"/>
    </row>
    <row r="960">
      <c r="DE960" s="60"/>
      <c r="DF960" s="60"/>
      <c r="DG960" s="60"/>
      <c r="DH960" s="60"/>
      <c r="DI960" s="60"/>
      <c r="DJ960" s="60"/>
    </row>
    <row r="961">
      <c r="DE961" s="60"/>
      <c r="DF961" s="60"/>
      <c r="DG961" s="60"/>
      <c r="DH961" s="60"/>
      <c r="DI961" s="60"/>
      <c r="DJ961" s="60"/>
    </row>
    <row r="962">
      <c r="DE962" s="60"/>
      <c r="DF962" s="60"/>
      <c r="DG962" s="60"/>
      <c r="DH962" s="60"/>
      <c r="DI962" s="60"/>
      <c r="DJ962" s="60"/>
    </row>
    <row r="963">
      <c r="DE963" s="60"/>
      <c r="DF963" s="60"/>
      <c r="DG963" s="60"/>
      <c r="DH963" s="60"/>
      <c r="DI963" s="60"/>
      <c r="DJ963" s="60"/>
    </row>
    <row r="964">
      <c r="DE964" s="60"/>
      <c r="DF964" s="60"/>
      <c r="DG964" s="60"/>
      <c r="DH964" s="60"/>
      <c r="DI964" s="60"/>
      <c r="DJ964" s="60"/>
    </row>
    <row r="965">
      <c r="DE965" s="60"/>
      <c r="DF965" s="60"/>
      <c r="DG965" s="60"/>
      <c r="DH965" s="60"/>
      <c r="DI965" s="60"/>
      <c r="DJ965" s="60"/>
    </row>
    <row r="966">
      <c r="DE966" s="60"/>
      <c r="DF966" s="60"/>
      <c r="DG966" s="60"/>
      <c r="DH966" s="60"/>
      <c r="DI966" s="60"/>
      <c r="DJ966" s="60"/>
    </row>
    <row r="967">
      <c r="DE967" s="60"/>
      <c r="DF967" s="60"/>
      <c r="DG967" s="60"/>
      <c r="DH967" s="60"/>
      <c r="DI967" s="60"/>
      <c r="DJ967" s="60"/>
    </row>
    <row r="968">
      <c r="DE968" s="60"/>
      <c r="DF968" s="60"/>
      <c r="DG968" s="60"/>
      <c r="DH968" s="60"/>
      <c r="DI968" s="60"/>
      <c r="DJ968" s="60"/>
    </row>
    <row r="969">
      <c r="DE969" s="60"/>
      <c r="DF969" s="60"/>
      <c r="DG969" s="60"/>
      <c r="DH969" s="60"/>
      <c r="DI969" s="60"/>
      <c r="DJ969" s="60"/>
    </row>
    <row r="970">
      <c r="DE970" s="60"/>
      <c r="DF970" s="60"/>
      <c r="DG970" s="60"/>
      <c r="DH970" s="60"/>
      <c r="DI970" s="60"/>
      <c r="DJ970" s="60"/>
    </row>
    <row r="971">
      <c r="DE971" s="60"/>
      <c r="DF971" s="60"/>
      <c r="DG971" s="60"/>
      <c r="DH971" s="60"/>
      <c r="DI971" s="60"/>
      <c r="DJ971" s="60"/>
    </row>
    <row r="972">
      <c r="DE972" s="60"/>
      <c r="DF972" s="60"/>
      <c r="DG972" s="60"/>
      <c r="DH972" s="60"/>
      <c r="DI972" s="60"/>
      <c r="DJ972" s="60"/>
    </row>
    <row r="973">
      <c r="DE973" s="60"/>
      <c r="DF973" s="60"/>
      <c r="DG973" s="60"/>
      <c r="DH973" s="60"/>
      <c r="DI973" s="60"/>
      <c r="DJ973" s="60"/>
    </row>
    <row r="974">
      <c r="DE974" s="60"/>
      <c r="DF974" s="60"/>
      <c r="DG974" s="60"/>
      <c r="DH974" s="60"/>
      <c r="DI974" s="60"/>
      <c r="DJ974" s="60"/>
    </row>
    <row r="975">
      <c r="DE975" s="60"/>
      <c r="DF975" s="60"/>
      <c r="DG975" s="60"/>
      <c r="DH975" s="60"/>
      <c r="DI975" s="60"/>
      <c r="DJ975" s="60"/>
    </row>
    <row r="976">
      <c r="DE976" s="60"/>
      <c r="DF976" s="60"/>
      <c r="DG976" s="60"/>
      <c r="DH976" s="60"/>
      <c r="DI976" s="60"/>
      <c r="DJ976" s="60"/>
    </row>
    <row r="977">
      <c r="DE977" s="60"/>
      <c r="DF977" s="60"/>
      <c r="DG977" s="60"/>
      <c r="DH977" s="60"/>
      <c r="DI977" s="60"/>
      <c r="DJ977" s="60"/>
    </row>
    <row r="978">
      <c r="DE978" s="60"/>
      <c r="DF978" s="60"/>
      <c r="DG978" s="60"/>
      <c r="DH978" s="60"/>
      <c r="DI978" s="60"/>
      <c r="DJ978" s="60"/>
    </row>
    <row r="979">
      <c r="DE979" s="60"/>
      <c r="DF979" s="60"/>
      <c r="DG979" s="60"/>
      <c r="DH979" s="60"/>
      <c r="DI979" s="60"/>
      <c r="DJ979" s="60"/>
    </row>
    <row r="980">
      <c r="DE980" s="60"/>
      <c r="DF980" s="60"/>
      <c r="DG980" s="60"/>
      <c r="DH980" s="60"/>
      <c r="DI980" s="60"/>
      <c r="DJ980" s="60"/>
    </row>
    <row r="981">
      <c r="DE981" s="60"/>
      <c r="DF981" s="60"/>
      <c r="DG981" s="60"/>
      <c r="DH981" s="60"/>
      <c r="DI981" s="60"/>
      <c r="DJ981" s="60"/>
    </row>
    <row r="982">
      <c r="DE982" s="60"/>
      <c r="DF982" s="60"/>
      <c r="DG982" s="60"/>
      <c r="DH982" s="60"/>
      <c r="DI982" s="60"/>
      <c r="DJ982" s="60"/>
    </row>
    <row r="983">
      <c r="DE983" s="60"/>
      <c r="DF983" s="60"/>
      <c r="DG983" s="60"/>
      <c r="DH983" s="60"/>
      <c r="DI983" s="60"/>
      <c r="DJ983" s="60"/>
    </row>
    <row r="984">
      <c r="DE984" s="60"/>
      <c r="DF984" s="60"/>
      <c r="DG984" s="60"/>
      <c r="DH984" s="60"/>
      <c r="DI984" s="60"/>
      <c r="DJ984" s="60"/>
    </row>
    <row r="985">
      <c r="DE985" s="60"/>
      <c r="DF985" s="60"/>
      <c r="DG985" s="60"/>
      <c r="DH985" s="60"/>
      <c r="DI985" s="60"/>
      <c r="DJ985" s="60"/>
    </row>
    <row r="986">
      <c r="DE986" s="60"/>
      <c r="DF986" s="60"/>
      <c r="DG986" s="60"/>
      <c r="DH986" s="60"/>
      <c r="DI986" s="60"/>
      <c r="DJ986" s="60"/>
    </row>
    <row r="987">
      <c r="DE987" s="60"/>
      <c r="DF987" s="60"/>
      <c r="DG987" s="60"/>
      <c r="DH987" s="60"/>
      <c r="DI987" s="60"/>
      <c r="DJ987" s="60"/>
    </row>
    <row r="988">
      <c r="DE988" s="60"/>
      <c r="DF988" s="60"/>
      <c r="DG988" s="60"/>
      <c r="DH988" s="60"/>
      <c r="DI988" s="60"/>
      <c r="DJ988" s="60"/>
    </row>
    <row r="989">
      <c r="DE989" s="60"/>
      <c r="DF989" s="60"/>
      <c r="DG989" s="60"/>
      <c r="DH989" s="60"/>
      <c r="DI989" s="60"/>
      <c r="DJ989" s="60"/>
    </row>
    <row r="990">
      <c r="DE990" s="60"/>
      <c r="DF990" s="60"/>
      <c r="DG990" s="60"/>
      <c r="DH990" s="60"/>
      <c r="DI990" s="60"/>
      <c r="DJ990" s="60"/>
    </row>
    <row r="991">
      <c r="DE991" s="60"/>
      <c r="DF991" s="60"/>
      <c r="DG991" s="60"/>
      <c r="DH991" s="60"/>
      <c r="DI991" s="60"/>
      <c r="DJ991" s="60"/>
    </row>
    <row r="992">
      <c r="DE992" s="60"/>
      <c r="DF992" s="60"/>
      <c r="DG992" s="60"/>
      <c r="DH992" s="60"/>
      <c r="DI992" s="60"/>
      <c r="DJ992" s="60"/>
    </row>
    <row r="993">
      <c r="DE993" s="60"/>
      <c r="DF993" s="60"/>
      <c r="DG993" s="60"/>
      <c r="DH993" s="60"/>
      <c r="DI993" s="60"/>
      <c r="DJ993" s="60"/>
    </row>
    <row r="994">
      <c r="DE994" s="60"/>
      <c r="DF994" s="60"/>
      <c r="DG994" s="60"/>
      <c r="DH994" s="60"/>
      <c r="DI994" s="60"/>
      <c r="DJ994" s="60"/>
    </row>
    <row r="995">
      <c r="DE995" s="60"/>
      <c r="DF995" s="60"/>
      <c r="DG995" s="60"/>
      <c r="DH995" s="60"/>
      <c r="DI995" s="60"/>
      <c r="DJ995" s="60"/>
    </row>
    <row r="996">
      <c r="DE996" s="60"/>
      <c r="DF996" s="60"/>
      <c r="DG996" s="60"/>
      <c r="DH996" s="60"/>
      <c r="DI996" s="60"/>
      <c r="DJ996" s="60"/>
    </row>
    <row r="997">
      <c r="DE997" s="60"/>
      <c r="DF997" s="60"/>
      <c r="DG997" s="60"/>
      <c r="DH997" s="60"/>
      <c r="DI997" s="60"/>
      <c r="DJ997" s="60"/>
    </row>
    <row r="998">
      <c r="DE998" s="60"/>
      <c r="DF998" s="60"/>
      <c r="DG998" s="60"/>
      <c r="DH998" s="60"/>
      <c r="DI998" s="60"/>
      <c r="DJ998" s="60"/>
    </row>
    <row r="999">
      <c r="DE999" s="60"/>
      <c r="DF999" s="60"/>
      <c r="DG999" s="60"/>
      <c r="DH999" s="60"/>
      <c r="DI999" s="60"/>
      <c r="DJ999" s="60"/>
    </row>
    <row r="1000">
      <c r="DE1000" s="60"/>
      <c r="DF1000" s="60"/>
      <c r="DG1000" s="60"/>
      <c r="DH1000" s="60"/>
      <c r="DI1000" s="60"/>
      <c r="DJ1000" s="60"/>
    </row>
    <row r="1001">
      <c r="DE1001" s="60"/>
      <c r="DF1001" s="60"/>
      <c r="DG1001" s="60"/>
      <c r="DH1001" s="60"/>
      <c r="DI1001" s="60"/>
      <c r="DJ1001" s="60"/>
    </row>
  </sheetData>
  <mergeCells count="64">
    <mergeCell ref="CQ2:CR2"/>
    <mergeCell ref="CS2:CT2"/>
    <mergeCell ref="B33:C33"/>
    <mergeCell ref="G33:I33"/>
    <mergeCell ref="CA2:CB2"/>
    <mergeCell ref="CD2:CE2"/>
    <mergeCell ref="CF2:CG2"/>
    <mergeCell ref="CH2:CI2"/>
    <mergeCell ref="CJ2:CK2"/>
    <mergeCell ref="CM2:CN2"/>
    <mergeCell ref="CO2:CP2"/>
    <mergeCell ref="BL1:BS1"/>
    <mergeCell ref="BU1:CB1"/>
    <mergeCell ref="CD1:CK1"/>
    <mergeCell ref="CM1:CT1"/>
    <mergeCell ref="CV1:DC1"/>
    <mergeCell ref="DE1:DF1"/>
    <mergeCell ref="J1:Q1"/>
    <mergeCell ref="S1:Z1"/>
    <mergeCell ref="AB1:AI1"/>
    <mergeCell ref="AK1:AR1"/>
    <mergeCell ref="AT1:BA1"/>
    <mergeCell ref="BC1:BJ1"/>
    <mergeCell ref="A1:H1"/>
    <mergeCell ref="A2:B2"/>
    <mergeCell ref="C2:D2"/>
    <mergeCell ref="E2:F2"/>
    <mergeCell ref="G2:H2"/>
    <mergeCell ref="J2:K2"/>
    <mergeCell ref="L2:M2"/>
    <mergeCell ref="N2:O2"/>
    <mergeCell ref="P2:Q2"/>
    <mergeCell ref="S2:T2"/>
    <mergeCell ref="U2:V2"/>
    <mergeCell ref="W2:X2"/>
    <mergeCell ref="Y2:Z2"/>
    <mergeCell ref="AB2:AC2"/>
    <mergeCell ref="AD2:AE2"/>
    <mergeCell ref="AF2:AG2"/>
    <mergeCell ref="AH2:AI2"/>
    <mergeCell ref="AK2:AL2"/>
    <mergeCell ref="AM2:AN2"/>
    <mergeCell ref="AO2:AP2"/>
    <mergeCell ref="AQ2:AR2"/>
    <mergeCell ref="AT2:AU2"/>
    <mergeCell ref="AV2:AW2"/>
    <mergeCell ref="AX2:AY2"/>
    <mergeCell ref="AZ2:BA2"/>
    <mergeCell ref="BC2:BD2"/>
    <mergeCell ref="BE2:BF2"/>
    <mergeCell ref="BG2:BH2"/>
    <mergeCell ref="BI2:BJ2"/>
    <mergeCell ref="CV2:CW2"/>
    <mergeCell ref="CX2:CY2"/>
    <mergeCell ref="CZ2:DA2"/>
    <mergeCell ref="DB2:DC2"/>
    <mergeCell ref="DE2:DF2"/>
    <mergeCell ref="BL2:BM2"/>
    <mergeCell ref="BN2:BO2"/>
    <mergeCell ref="BP2:BQ2"/>
    <mergeCell ref="BR2:BS2"/>
    <mergeCell ref="BU2:BV2"/>
    <mergeCell ref="BW2:BX2"/>
    <mergeCell ref="BY2:BZ2"/>
  </mergeCells>
  <conditionalFormatting sqref="B4:B23 D4:D23 F4:F23 H4:H23 K4:K23 M4:M23 O4:O23 Q4:Q23 T4:T23 V4:V23 X4:X23 Z4:Z23 AC4:AC23 AE4:AE23 AG4:AG23 AI4:AI23 AL4:AL23 AN4:AN23 AP4:AP23 AR4:AR23 AU4:AU23 AW4:AW23 AY4:AY23 BA4:BA23 BD4:BD23 BF4:BF23 BH4:BH23 BJ4:BJ23 BM4:BM23 BO4:BO23 BQ4:BQ23 BS4:BS23 BV4:BV23 BX4:BX23 BZ4:BZ23 CB4:CB23 CE4:CE23 CG4:CG23 CI4:CI23 CK4:CK23 CN4:CN23 CP4:CP23 CR4:CR23 CT4:CT23 CW4:CW23 CY4:CY23 DA4:DA23 DC4:DC23 DF4:DF23 B35:B36">
    <cfRule type="cellIs" dxfId="0" priority="1" operator="lessThanOrEqual">
      <formula>2</formula>
    </cfRule>
  </conditionalFormatting>
  <conditionalFormatting sqref="B4:B23 D4:D23 F4:F23 H4:H23 K4:K23 M4:M23 O4:O23 Q4:Q23 T4:T23 V4:V23 X4:X23 Z4:Z23 AC4:AC23 AE4:AE23 AG4:AG23 AI4:AI23 AL4:AL23 AN4:AN23 AP4:AP23 AR4:AR23 AU4:AU23 AW4:AW23 AY4:AY23 BA4:BA23 BD4:BD23 BF4:BF23 BH4:BH23 BJ4:BJ23 BM4:BM23 BO4:BO23 BQ4:BQ23 BS4:BS23 BV4:BV23 BX4:BX23 BZ4:BZ23 CB4:CB23 CE4:CE23 CG4:CG23 CI4:CI23 CK4:CK23 CN4:CN23 CP4:CP23 CR4:CR23 CT4:CT23 CW4:CW23 CY4:CY23 DA4:DA23 DC4:DC23 DF4:DF23 B35:B36">
    <cfRule type="cellIs" dxfId="1" priority="2" operator="between">
      <formula>3</formula>
      <formula>5</formula>
    </cfRule>
  </conditionalFormatting>
  <conditionalFormatting sqref="B4:B23 D4:D23 F4:F23 H4:H23 K4:K23 M4:M23 O4:O23 Q4:Q23 T4:T23 V4:V23 X4:X23 Z4:Z23 AC4:AC23 AE4:AE23 AG4:AG23 AI4:AI23 AL4:AL23 AN4:AN23 AP4:AP23 AR4:AR23 AU4:AU23 AW4:AW23 AY4:AY23 BA4:BA23 BD4:BD23 BF4:BF23 BH4:BH23 BJ4:BJ23 BM4:BM23 BO4:BO23 BQ4:BQ23 BS4:BS23 BV4:BV23 BX4:BX23 BZ4:BZ23 CB4:CB23 CE4:CE23 CG4:CG23 CI4:CI23 CK4:CK23 CN4:CN23 CP4:CP23 CR4:CR23 CT4:CT23 CW4:CW23 CY4:CY23 DA4:DA23 DC4:DC23 DF4:DF23 B35:B36">
    <cfRule type="cellIs" dxfId="2" priority="3" operator="between">
      <formula>6</formula>
      <formula>8</formula>
    </cfRule>
  </conditionalFormatting>
  <conditionalFormatting sqref="B4:B23 D4:D23 F4:F23 H4:H23 K4:K23 M4:M23 O4:O23 Q4:Q23 T4:T23 V4:V23 X4:X23 Z4:Z23 AC4:AC23 AE4:AE23 AG4:AG23 AI4:AI23 AL4:AL23 AN4:AN23 AP4:AP23 AR4:AR23 AU4:AU23 AW4:AW23 AY4:AY23 BA4:BA23 BD4:BD23 BF4:BF23 BH4:BH23 BJ4:BJ23 BM4:BM23 BO4:BO23 BQ4:BQ23 BS4:BS23 BV4:BV23 BX4:BX23 BZ4:BZ23 CB4:CB23 CE4:CE23 CG4:CG23 CI4:CI23 CK4:CK23 CN4:CN23 CP4:CP23 CR4:CR23 CT4:CT23 CW4:CW23 CY4:CY23 DA4:DA23 DC4:DC23 DF4:DF23 B35:B36">
    <cfRule type="cellIs" dxfId="3" priority="4" operator="greaterThanOrEqual">
      <formula>9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13"/>
    <col customWidth="1" min="3" max="3" width="18.75"/>
  </cols>
  <sheetData>
    <row r="2">
      <c r="B2" s="63" t="s">
        <v>1055</v>
      </c>
      <c r="C2" s="63" t="s">
        <v>1051</v>
      </c>
    </row>
    <row r="3">
      <c r="B3" s="64" t="s">
        <v>1060</v>
      </c>
      <c r="C3" s="65">
        <v>150.0</v>
      </c>
    </row>
    <row r="4">
      <c r="B4" s="66" t="s">
        <v>1064</v>
      </c>
      <c r="C4" s="67">
        <v>500.0</v>
      </c>
    </row>
    <row r="5">
      <c r="B5" s="64" t="s">
        <v>1065</v>
      </c>
      <c r="C5" s="65">
        <v>200.0</v>
      </c>
    </row>
    <row r="6">
      <c r="B6" s="66" t="s">
        <v>1066</v>
      </c>
      <c r="C6" s="67">
        <v>500.0</v>
      </c>
    </row>
    <row r="7">
      <c r="B7" s="64" t="s">
        <v>1067</v>
      </c>
      <c r="C7" s="65">
        <v>3000.0</v>
      </c>
    </row>
    <row r="8">
      <c r="B8" s="68" t="s">
        <v>1072</v>
      </c>
      <c r="C8" s="67">
        <v>1500.0</v>
      </c>
    </row>
    <row r="9">
      <c r="B9" s="69" t="s">
        <v>1073</v>
      </c>
      <c r="C9" s="65">
        <v>2000.0</v>
      </c>
    </row>
    <row r="10">
      <c r="B10" s="66" t="s">
        <v>1070</v>
      </c>
      <c r="C10" s="67">
        <v>3500.0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7" t="s">
        <v>1074</v>
      </c>
    </row>
    <row r="4">
      <c r="A4" s="47" t="s">
        <v>13</v>
      </c>
      <c r="B4" s="48">
        <f>SUMIF(Sheet1!B$4:B$23, "&lt;=3",$N$4:$N$23)</f>
        <v>8</v>
      </c>
      <c r="N4" s="47">
        <v>1.0</v>
      </c>
    </row>
    <row r="5">
      <c r="A5" s="47" t="s">
        <v>14</v>
      </c>
      <c r="B5" s="48">
        <f>SUMIF(Sheet1!D$4:D$23, "&lt;=3",$N$4:$N$23)</f>
        <v>3</v>
      </c>
      <c r="N5" s="47">
        <v>1.0</v>
      </c>
    </row>
    <row r="6">
      <c r="A6" s="47" t="s">
        <v>15</v>
      </c>
      <c r="B6" s="48">
        <f>SUMIF(Sheet1!F$4:F$23, "&lt;=3",$N$4:$N$23)</f>
        <v>9</v>
      </c>
      <c r="N6" s="47">
        <v>1.0</v>
      </c>
    </row>
    <row r="7">
      <c r="A7" s="47" t="s">
        <v>16</v>
      </c>
      <c r="B7" s="48">
        <f>SUMIF(Sheet1!H$4:H$23, "&lt;=3",$N$4:$N$23)</f>
        <v>10</v>
      </c>
      <c r="N7" s="47">
        <v>1.0</v>
      </c>
    </row>
    <row r="8">
      <c r="N8" s="47">
        <v>1.0</v>
      </c>
    </row>
    <row r="9">
      <c r="N9" s="47">
        <v>1.0</v>
      </c>
    </row>
    <row r="10">
      <c r="A10" s="47" t="s">
        <v>13</v>
      </c>
      <c r="B10" s="48">
        <f>SUMIF(Sheet1!B$4:B$23, "&lt;=3",$N$4:$N$23)</f>
        <v>8</v>
      </c>
      <c r="N10" s="47">
        <v>1.0</v>
      </c>
    </row>
    <row r="11">
      <c r="A11" s="47" t="s">
        <v>14</v>
      </c>
      <c r="B11" s="48">
        <f>SUMIF(Sheet1!D$4:D$23, "&lt;=3",$N$4:$N$23)</f>
        <v>3</v>
      </c>
      <c r="N11" s="47">
        <v>1.0</v>
      </c>
    </row>
    <row r="12">
      <c r="A12" s="47" t="s">
        <v>15</v>
      </c>
      <c r="B12" s="48">
        <f>SUMIF(Sheet1!F$4:F$23, "&lt;=3",$N$4:$N$23)</f>
        <v>9</v>
      </c>
      <c r="N12" s="47">
        <v>1.0</v>
      </c>
    </row>
    <row r="13">
      <c r="A13" s="47" t="s">
        <v>16</v>
      </c>
      <c r="B13" s="48">
        <f>SUMIF(Sheet1!H$4:H$23, "&lt;=3",$N$4:$N$23)</f>
        <v>10</v>
      </c>
      <c r="N13" s="47">
        <v>1.0</v>
      </c>
    </row>
    <row r="14">
      <c r="N14" s="47">
        <v>1.0</v>
      </c>
    </row>
    <row r="15">
      <c r="N15" s="47">
        <v>1.0</v>
      </c>
    </row>
    <row r="16">
      <c r="A16" s="47" t="s">
        <v>13</v>
      </c>
      <c r="B16" s="48">
        <f>SUMIF(Sheet1!B$4:B$23, "&lt;=3",$N$4:$N$23)</f>
        <v>8</v>
      </c>
      <c r="N16" s="47">
        <v>1.0</v>
      </c>
    </row>
    <row r="17">
      <c r="A17" s="47" t="s">
        <v>14</v>
      </c>
      <c r="B17" s="48">
        <f>SUMIF(Sheet1!D$4:D$23, "&lt;=3",$N$4:$N$23)</f>
        <v>3</v>
      </c>
      <c r="N17" s="47">
        <v>1.0</v>
      </c>
    </row>
    <row r="18">
      <c r="A18" s="47" t="s">
        <v>15</v>
      </c>
      <c r="B18" s="48">
        <f>SUMIF(Sheet1!F$4:F$23, "&lt;=3",$N$4:$N$23)</f>
        <v>9</v>
      </c>
      <c r="N18" s="47">
        <v>1.0</v>
      </c>
    </row>
    <row r="19">
      <c r="A19" s="47" t="s">
        <v>16</v>
      </c>
      <c r="B19" s="48">
        <f>SUMIF(Sheet1!H$4:H$23, "&lt;=3",$N$4:$N$23)</f>
        <v>10</v>
      </c>
      <c r="N19" s="47">
        <v>1.0</v>
      </c>
    </row>
    <row r="20">
      <c r="N20" s="47">
        <v>1.0</v>
      </c>
    </row>
    <row r="21">
      <c r="N21" s="47">
        <v>1.0</v>
      </c>
    </row>
    <row r="22">
      <c r="A22" s="47" t="s">
        <v>13</v>
      </c>
      <c r="B22" s="48">
        <f>SUMIF(Sheet1!B$4:B$23, "&lt;=3",$N$4:$N$23)</f>
        <v>8</v>
      </c>
      <c r="N22" s="47">
        <v>1.0</v>
      </c>
    </row>
    <row r="23">
      <c r="A23" s="47" t="s">
        <v>14</v>
      </c>
      <c r="B23" s="48">
        <f>SUMIF(Sheet1!D$4:D$23, "&lt;=3",$N$4:$N$23)</f>
        <v>3</v>
      </c>
      <c r="N23" s="47">
        <v>1.0</v>
      </c>
    </row>
    <row r="24">
      <c r="A24" s="47" t="s">
        <v>15</v>
      </c>
      <c r="B24" s="48">
        <f>SUMIF(Sheet1!F$4:F$23, "&lt;=3",$N$4:$N$23)</f>
        <v>9</v>
      </c>
    </row>
    <row r="25">
      <c r="A25" s="47" t="s">
        <v>16</v>
      </c>
      <c r="B25" s="48">
        <f>SUMIF(Sheet1!H$4:H$23, "&lt;=3",$N$4:$N$23)</f>
        <v>10</v>
      </c>
    </row>
    <row r="28">
      <c r="A28" s="47" t="s">
        <v>13</v>
      </c>
      <c r="B28" s="48">
        <f>SUMIF(Sheet1!B$4:B$23, "&lt;=3",$N$4:$N$23)</f>
        <v>8</v>
      </c>
    </row>
    <row r="29">
      <c r="A29" s="47" t="s">
        <v>14</v>
      </c>
      <c r="B29" s="48">
        <f>SUMIF(Sheet1!D$4:D$23, "&lt;=3",$N$4:$N$23)</f>
        <v>3</v>
      </c>
    </row>
    <row r="30">
      <c r="A30" s="47" t="s">
        <v>15</v>
      </c>
      <c r="B30" s="48">
        <f>SUMIF(Sheet1!F$4:F$23, "&lt;=3",$N$4:$N$23)</f>
        <v>9</v>
      </c>
    </row>
    <row r="31">
      <c r="A31" s="47" t="s">
        <v>16</v>
      </c>
      <c r="B31" s="48">
        <f>SUMIF(Sheet1!H$4:H$23, "&lt;=3",$N$4:$N$23)</f>
        <v>10</v>
      </c>
    </row>
    <row r="34">
      <c r="A34" s="47" t="s">
        <v>13</v>
      </c>
      <c r="B34" s="48">
        <f>SUMIF(Sheet1!B$4:B$23, "&lt;=3",$N$4:$N$23)</f>
        <v>8</v>
      </c>
    </row>
    <row r="35">
      <c r="A35" s="47" t="s">
        <v>14</v>
      </c>
      <c r="B35" s="48">
        <f>SUMIF(Sheet1!D$4:D$23, "&lt;=3",$N$4:$N$23)</f>
        <v>3</v>
      </c>
    </row>
    <row r="36">
      <c r="A36" s="47" t="s">
        <v>15</v>
      </c>
      <c r="B36" s="48">
        <f>SUMIF(Sheet1!F$4:F$23, "&lt;=3",$N$4:$N$23)</f>
        <v>9</v>
      </c>
    </row>
    <row r="37">
      <c r="A37" s="47" t="s">
        <v>16</v>
      </c>
      <c r="B37" s="48">
        <f>SUMIF(Sheet1!H$4:H$23, "&lt;=3",$N$4:$N$23)</f>
        <v>10</v>
      </c>
    </row>
    <row r="40">
      <c r="A40" s="47" t="s">
        <v>13</v>
      </c>
      <c r="B40" s="48">
        <f>SUMIF(Sheet1!B$4:B$23, "&lt;=3",$N$4:$N$23)</f>
        <v>8</v>
      </c>
    </row>
    <row r="41">
      <c r="A41" s="47" t="s">
        <v>14</v>
      </c>
      <c r="B41" s="48">
        <f>SUMIF(Sheet1!D$4:D$23, "&lt;=3",$N$4:$N$23)</f>
        <v>3</v>
      </c>
    </row>
    <row r="42">
      <c r="A42" s="47" t="s">
        <v>15</v>
      </c>
      <c r="B42" s="48">
        <f>SUMIF(Sheet1!F$4:F$23, "&lt;=3",$N$4:$N$23)</f>
        <v>9</v>
      </c>
    </row>
    <row r="43">
      <c r="A43" s="47" t="s">
        <v>16</v>
      </c>
      <c r="B43" s="48">
        <f>SUMIF(Sheet1!H$4:H$23, "&lt;=3",$N$4:$N$23)</f>
        <v>10</v>
      </c>
    </row>
    <row r="46">
      <c r="A46" s="47" t="s">
        <v>13</v>
      </c>
      <c r="B46" s="48">
        <f>SUMIF(Sheet1!B$4:B$23, "&lt;=3",$N$4:$N$23)</f>
        <v>8</v>
      </c>
    </row>
    <row r="47">
      <c r="A47" s="47" t="s">
        <v>14</v>
      </c>
      <c r="B47" s="48">
        <f>SUMIF(Sheet1!D$4:D$23, "&lt;=3",$N$4:$N$23)</f>
        <v>3</v>
      </c>
    </row>
    <row r="48">
      <c r="A48" s="47" t="s">
        <v>15</v>
      </c>
      <c r="B48" s="48">
        <f>SUMIF(Sheet1!F$4:F$23, "&lt;=3",$N$4:$N$23)</f>
        <v>9</v>
      </c>
    </row>
    <row r="49">
      <c r="A49" s="47" t="s">
        <v>16</v>
      </c>
      <c r="B49" s="48">
        <f>SUMIF(Sheet1!H$4:H$23, "&lt;=3",$N$4:$N$23)</f>
        <v>10</v>
      </c>
    </row>
    <row r="52">
      <c r="A52" s="47" t="s">
        <v>13</v>
      </c>
      <c r="B52" s="48">
        <f>SUMIF(Sheet1!B$4:B$23, "&lt;=3",$N$4:$N$23)</f>
        <v>8</v>
      </c>
    </row>
    <row r="53">
      <c r="A53" s="47" t="s">
        <v>14</v>
      </c>
      <c r="B53" s="48">
        <f>SUMIF(Sheet1!D$4:D$23, "&lt;=3",$N$4:$N$23)</f>
        <v>3</v>
      </c>
    </row>
    <row r="54">
      <c r="A54" s="47" t="s">
        <v>15</v>
      </c>
      <c r="B54" s="48">
        <f>SUMIF(Sheet1!F$4:F$23, "&lt;=3",$N$4:$N$23)</f>
        <v>9</v>
      </c>
    </row>
    <row r="55">
      <c r="A55" s="47" t="s">
        <v>16</v>
      </c>
      <c r="B55" s="48">
        <f>SUMIF(Sheet1!H$4:H$23, "&lt;=3",$N$4:$N$23)</f>
        <v>10</v>
      </c>
    </row>
    <row r="58">
      <c r="A58" s="47" t="s">
        <v>13</v>
      </c>
      <c r="B58" s="48">
        <f>SUMIF(Sheet1!B$4:B$23, "&lt;=3",$N$4:$N$23)</f>
        <v>8</v>
      </c>
    </row>
    <row r="59">
      <c r="A59" s="47" t="s">
        <v>14</v>
      </c>
      <c r="B59" s="48">
        <f>SUMIF(Sheet1!D$4:D$23, "&lt;=3",$N$4:$N$23)</f>
        <v>3</v>
      </c>
    </row>
    <row r="60">
      <c r="A60" s="47" t="s">
        <v>15</v>
      </c>
      <c r="B60" s="48">
        <f>SUMIF(Sheet1!F$4:F$23, "&lt;=3",$N$4:$N$23)</f>
        <v>9</v>
      </c>
    </row>
    <row r="61">
      <c r="A61" s="47" t="s">
        <v>16</v>
      </c>
      <c r="B61" s="48">
        <f>SUMIF(Sheet1!H$4:H$23, "&lt;=3",$N$4:$N$23)</f>
        <v>10</v>
      </c>
    </row>
    <row r="64">
      <c r="A64" s="47" t="s">
        <v>13</v>
      </c>
      <c r="B64" s="48">
        <f>SUMIF(Sheet1!B$4:B$23, "&lt;=3",$N$4:$N$23)</f>
        <v>8</v>
      </c>
    </row>
    <row r="65">
      <c r="A65" s="47" t="s">
        <v>14</v>
      </c>
      <c r="B65" s="48">
        <f>SUMIF(Sheet1!D$4:D$23, "&lt;=3",$N$4:$N$23)</f>
        <v>3</v>
      </c>
    </row>
    <row r="66">
      <c r="A66" s="47" t="s">
        <v>15</v>
      </c>
      <c r="B66" s="48">
        <f>SUMIF(Sheet1!F$4:F$23, "&lt;=3",$N$4:$N$23)</f>
        <v>9</v>
      </c>
    </row>
    <row r="67">
      <c r="A67" s="47" t="s">
        <v>16</v>
      </c>
      <c r="B67" s="48">
        <f>SUMIF(Sheet1!H$4:H$23, "&lt;=3",$N$4:$N$23)</f>
        <v>10</v>
      </c>
    </row>
    <row r="70">
      <c r="A70" s="47" t="s">
        <v>13</v>
      </c>
      <c r="B70" s="48">
        <f>SUMIF(Sheet1!B$4:B$23, "&lt;=3",$N$4:$N$23)</f>
        <v>8</v>
      </c>
    </row>
    <row r="71">
      <c r="A71" s="47" t="s">
        <v>14</v>
      </c>
      <c r="B71" s="48">
        <f>SUMIF(Sheet1!D$4:D$23, "&lt;=3",$N$4:$N$23)</f>
        <v>3</v>
      </c>
    </row>
    <row r="72">
      <c r="A72" s="47" t="s">
        <v>15</v>
      </c>
      <c r="B72" s="48">
        <f>SUMIF(Sheet1!F$4:F$23, "&lt;=3",$N$4:$N$23)</f>
        <v>9</v>
      </c>
    </row>
    <row r="73">
      <c r="A73" s="47" t="s">
        <v>16</v>
      </c>
      <c r="B73" s="48">
        <f>SUMIF(Sheet1!H$4:H$23, "&lt;=3",$N$4:$N$23)</f>
        <v>10</v>
      </c>
    </row>
  </sheetData>
  <drawing r:id="rId1"/>
</worksheet>
</file>